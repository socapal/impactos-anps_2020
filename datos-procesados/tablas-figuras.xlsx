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E:\parques-recreacion_impacto-anps\datos-procesados\"/>
    </mc:Choice>
  </mc:AlternateContent>
  <xr:revisionPtr revIDLastSave="0" documentId="13_ncr:1_{280CE808-C3BD-4CFB-AB3A-5FABDE772EA6}" xr6:coauthVersionLast="47" xr6:coauthVersionMax="47" xr10:uidLastSave="{00000000-0000-0000-0000-000000000000}"/>
  <bookViews>
    <workbookView xWindow="2460" yWindow="2810" windowWidth="14400" windowHeight="7270" activeTab="3" xr2:uid="{00000000-000D-0000-FFFF-FFFF00000000}"/>
  </bookViews>
  <sheets>
    <sheet name="Tablas" sheetId="1" r:id="rId1"/>
    <sheet name="1.1-1.2" sheetId="2" r:id="rId2"/>
    <sheet name="1.3" sheetId="3" r:id="rId3"/>
    <sheet name="1.4" sheetId="6" r:id="rId4"/>
    <sheet name="2.1" sheetId="19" r:id="rId5"/>
    <sheet name="2.2" sheetId="4" r:id="rId6"/>
    <sheet name="2.3" sheetId="20" r:id="rId7"/>
    <sheet name="2.4" sheetId="23" r:id="rId8"/>
    <sheet name="2.5" sheetId="22" r:id="rId9"/>
    <sheet name="TR" sheetId="25" r:id="rId10"/>
    <sheet name="A2" sheetId="17" r:id="rId11"/>
    <sheet name="_2.3 C" sheetId="5" r:id="rId12"/>
    <sheet name="Figuras" sheetId="12" r:id="rId13"/>
    <sheet name="Fig 1" sheetId="16" r:id="rId14"/>
    <sheet name="Fig 2" sheetId="24" r:id="rId15"/>
    <sheet name="_ANPs-1" sheetId="14" r:id="rId16"/>
    <sheet name="2.1-examen" sheetId="26" r:id="rId17"/>
    <sheet name="Hoja2" sheetId="2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24" l="1"/>
  <c r="B10" i="24"/>
  <c r="L10" i="24"/>
  <c r="L9" i="24"/>
  <c r="D10" i="24"/>
  <c r="C10" i="24"/>
  <c r="M10" i="24"/>
  <c r="K10" i="24"/>
  <c r="C11" i="24"/>
  <c r="E11" i="24"/>
  <c r="H11" i="24"/>
  <c r="K11" i="24"/>
  <c r="B11" i="24"/>
  <c r="C9" i="24"/>
  <c r="D9" i="24"/>
  <c r="E9" i="24"/>
  <c r="E10" i="24" s="1"/>
  <c r="F9" i="24"/>
  <c r="F10" i="24" s="1"/>
  <c r="G9" i="24"/>
  <c r="G10" i="24" s="1"/>
  <c r="H9" i="24"/>
  <c r="H10" i="24" s="1"/>
  <c r="I9" i="24"/>
  <c r="I10" i="24" s="1"/>
  <c r="J9" i="24"/>
  <c r="J10" i="24" s="1"/>
  <c r="K9" i="24"/>
  <c r="C11" i="16"/>
  <c r="D11" i="16"/>
  <c r="E11" i="16"/>
  <c r="F11" i="16"/>
  <c r="G11" i="16"/>
  <c r="H11" i="16"/>
  <c r="I11" i="16"/>
  <c r="J11" i="16"/>
  <c r="K11" i="16"/>
  <c r="L11" i="16"/>
  <c r="C12" i="16"/>
  <c r="D12" i="16"/>
  <c r="E12" i="16"/>
  <c r="F12" i="16"/>
  <c r="G12" i="16"/>
  <c r="H12" i="16"/>
  <c r="I12" i="16"/>
  <c r="J12" i="16"/>
  <c r="K12" i="16"/>
  <c r="L12" i="16"/>
  <c r="C13" i="16"/>
  <c r="D13" i="16"/>
  <c r="E13" i="16"/>
  <c r="F13" i="16"/>
  <c r="G13" i="16"/>
  <c r="H13" i="16"/>
  <c r="I13" i="16"/>
  <c r="J13" i="16"/>
  <c r="K13" i="16"/>
  <c r="L13" i="16"/>
  <c r="C14" i="16"/>
  <c r="D14" i="16"/>
  <c r="E14" i="16"/>
  <c r="F14" i="16"/>
  <c r="G14" i="16"/>
  <c r="H14" i="16"/>
  <c r="I14" i="16"/>
  <c r="J14" i="16"/>
  <c r="K14" i="16"/>
  <c r="L14" i="16"/>
  <c r="C15" i="16"/>
  <c r="D15" i="16"/>
  <c r="E15" i="16"/>
  <c r="F15" i="16"/>
  <c r="G15" i="16"/>
  <c r="H15" i="16"/>
  <c r="I15" i="16"/>
  <c r="J15" i="16"/>
  <c r="K15" i="16"/>
  <c r="L15" i="16"/>
  <c r="C16" i="16"/>
  <c r="D16" i="16"/>
  <c r="E16" i="16"/>
  <c r="F16" i="16"/>
  <c r="G16" i="16"/>
  <c r="H16" i="16"/>
  <c r="I16" i="16"/>
  <c r="J16" i="16"/>
  <c r="K16" i="16"/>
  <c r="L16" i="16"/>
  <c r="B12" i="16"/>
  <c r="B13" i="16"/>
  <c r="B14" i="16"/>
  <c r="B15" i="16"/>
  <c r="B16" i="16"/>
  <c r="B11" i="16"/>
  <c r="G11" i="24" l="1"/>
  <c r="F11" i="24"/>
  <c r="L11" i="24"/>
  <c r="D11" i="24"/>
  <c r="J11" i="24"/>
  <c r="I11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Ocampo Palacios</author>
  </authors>
  <commentList>
    <comment ref="I10" authorId="0" shapeId="0" xr:uid="{57A678F2-9329-42E4-84ED-099B9DBD6CF9}">
      <text>
        <r>
          <rPr>
            <b/>
            <sz val="9"/>
            <color indexed="81"/>
            <rFont val="Tahoma"/>
            <charset val="1"/>
          </rPr>
          <t>Sebastian Ocampo Palacios:</t>
        </r>
        <r>
          <rPr>
            <sz val="9"/>
            <color indexed="81"/>
            <rFont val="Tahoma"/>
            <charset val="1"/>
          </rPr>
          <t xml:space="preserve">
Quizás no está bien la extensión</t>
        </r>
      </text>
    </comment>
    <comment ref="F12" authorId="0" shapeId="0" xr:uid="{2DA553B2-4993-4379-89C4-477B592CA318}">
      <text>
        <r>
          <rPr>
            <b/>
            <sz val="9"/>
            <color indexed="81"/>
            <rFont val="Tahoma"/>
            <family val="2"/>
          </rPr>
          <t>Sebastian Ocampo Palacios:</t>
        </r>
        <r>
          <rPr>
            <sz val="9"/>
            <color indexed="81"/>
            <rFont val="Tahoma"/>
            <family val="2"/>
          </rPr>
          <t xml:space="preserve">
PENDIENTE</t>
        </r>
      </text>
    </comment>
  </commentList>
</comments>
</file>

<file path=xl/sharedStrings.xml><?xml version="1.0" encoding="utf-8"?>
<sst xmlns="http://schemas.openxmlformats.org/spreadsheetml/2006/main" count="792" uniqueCount="395">
  <si>
    <t xml:space="preserve"> </t>
  </si>
  <si>
    <t>Protección</t>
  </si>
  <si>
    <t>Uso Restringido</t>
  </si>
  <si>
    <t>Preservación</t>
  </si>
  <si>
    <t>Uso tradicional</t>
  </si>
  <si>
    <t>Aprovechamiento sustentable de recursos naturales</t>
  </si>
  <si>
    <t>Aprovechamiento especial</t>
  </si>
  <si>
    <t>Uso público</t>
  </si>
  <si>
    <t>Recuperación</t>
  </si>
  <si>
    <t>Fuente: Artículo 47 y 47 BIS de la LGEEPA</t>
  </si>
  <si>
    <t>Ofrecen un espacio para el desarrollo humano, mediante la recreación, el ocio y el descanso.</t>
  </si>
  <si>
    <t>Asentamientos humanos</t>
  </si>
  <si>
    <t>Territorios en donde es permitido realizar actividades agrícolas, pesqueras y pecuarias de baja intenisdad.</t>
  </si>
  <si>
    <t>Áreas sujetas a programas de recuperación, pues su ecosistema fue alterado sustancialmente.</t>
  </si>
  <si>
    <t>En ellas los recursos han sido aprovechados de forma tradicional para cubrir las necesidades de sus habitantes.</t>
  </si>
  <si>
    <t>Superficie de conservación en buen estado que requiere de un manejo específico.</t>
  </si>
  <si>
    <t>Tienen una extensión pequeña que cubre recursos naturales esenciales para la sociedad, pero sin generar perjuicio ambiental.</t>
  </si>
  <si>
    <t>En esta zona hay una modificación sustancial del ecosistema con origen en asentamientos humanos.</t>
  </si>
  <si>
    <t>Los recursos naturales pueden ser aprovechados bajo esquemas de sustenabilidad  para garantizar su preservación en el largo plazo.</t>
  </si>
  <si>
    <t>Áreas en donde se busca preservar (o mejorar) su estado, permitiendo escasas oportunidades de aprovechamiento.</t>
  </si>
  <si>
    <t>Fuente: Artículos 48 a 55 de la LGEEPA</t>
  </si>
  <si>
    <t>Categoría</t>
  </si>
  <si>
    <t>Reservas de la biosfera</t>
  </si>
  <si>
    <t>Parques Nacionales</t>
  </si>
  <si>
    <t>Monumentos Naturales</t>
  </si>
  <si>
    <t>Áreas de protección de recursos naturales</t>
  </si>
  <si>
    <t>Áreas de protección de flora y fauna</t>
  </si>
  <si>
    <t>Santuarios</t>
  </si>
  <si>
    <t>Definición</t>
  </si>
  <si>
    <t>Representan uno o más ecosistemas visualmente atractivos con valor científico, social, cultural o estético.</t>
  </si>
  <si>
    <t>Preservan recursos naturales localizados dentro de terrenos forestales. Necesariamente, sus características deben excluirlos de pertenecer a  cualquier otra categoría.</t>
  </si>
  <si>
    <t>Deberán contener hábitats cuya existencia permite el desarrollo de especies de flora y fauna silvestre.</t>
  </si>
  <si>
    <t>Aquellos espacios con una riqueza importante de flora o fauna de distribución restringida.</t>
  </si>
  <si>
    <t xml:space="preserve">Contiene al menos un elemento natural único, valioso por su valor histórico, social o científico que requiere de protección total. </t>
  </si>
  <si>
    <t>Actividades en núcleos</t>
  </si>
  <si>
    <t>Actividades en amortiguamiento</t>
  </si>
  <si>
    <t xml:space="preserve">Serán permitidas algunas actividades productivas, realizadas sustentablemente, por parte de comunidades originarias que predatan la expedición del área. </t>
  </si>
  <si>
    <t>Únicamente permite subzonas de uso tradicional, de uso público y de recuperación; en zonas marítimas permite  subzonas de aprovechamiento de  recursos naturales.</t>
  </si>
  <si>
    <t>Solamente serán permitidas actividades de preservación, investigación científica, recreación y educación.</t>
  </si>
  <si>
    <t xml:space="preserve">Utilizarán subzonas de uso público y de recuperación </t>
  </si>
  <si>
    <t>Serán permitidas actividades relacionadas con la preservación y mejoramiento de sus ecosistemas; investigación, recreación, turismo y educación ecológicos.</t>
  </si>
  <si>
    <t>Actividades de preservación, protección y aprovechamiento sustentable. Además de disposiciones adicionales según el programa de manejo.</t>
  </si>
  <si>
    <t>Serán permitidas actividades de investigación, recreación y educación ambiental. El aprovechamiento no extractivo está sujeto a sus programas de manejo.</t>
  </si>
  <si>
    <t>Permite cualquier tipo de subzona.</t>
  </si>
  <si>
    <t>Generará un espacio para el cuidado, la preservación y el desarrollo de especies relevantes para la biodiversidad. También permitirán actividades educativas y de difusión</t>
  </si>
  <si>
    <t>Figura 1.A. Muestra las subzonas de la zona marcada como núceo de la ANPs son  las zonas más importantes, pude haber varias)</t>
  </si>
  <si>
    <t>Figura 1.B. Subzonas de las áreas de amortiguamiento. Tienen restrcciones más ligeras y ayudan a la conservación del núcleo y ciertos espacios adicionales</t>
  </si>
  <si>
    <t>Núcleo</t>
  </si>
  <si>
    <t>Amortiguamiento</t>
  </si>
  <si>
    <t>Aprovechamiento sustentable de los ecosistemas</t>
  </si>
  <si>
    <t>Índice de marginación</t>
  </si>
  <si>
    <t>Porcentajes de población (%)</t>
  </si>
  <si>
    <t>Porcentajes de ocupantes en vivienda particular (%)</t>
  </si>
  <si>
    <t xml:space="preserve"> Analfabeta (mayor de 15 años)</t>
  </si>
  <si>
    <t xml:space="preserve"> Sin educación básica (+15 a.)</t>
  </si>
  <si>
    <t xml:space="preserve"> Ocupada con ingresos de hasta dos salarios mínimos</t>
  </si>
  <si>
    <t xml:space="preserve"> En localidades con menos de 5000 habitantes</t>
  </si>
  <si>
    <t xml:space="preserve"> Sin energía eléctrica</t>
  </si>
  <si>
    <t xml:space="preserve"> Sin agua entubada</t>
  </si>
  <si>
    <t xml:space="preserve"> Con piso de tierra</t>
  </si>
  <si>
    <t xml:space="preserve"> En estado de hacinamiento</t>
  </si>
  <si>
    <t>Índice de diversidad étnica</t>
  </si>
  <si>
    <t>Autoadscripción indígena</t>
  </si>
  <si>
    <t>Autoadscripción afrodescendiente</t>
  </si>
  <si>
    <t>Otras autoadscripciones</t>
  </si>
  <si>
    <t>Índice o medida</t>
  </si>
  <si>
    <t>Unidades</t>
  </si>
  <si>
    <t>Indicador específico</t>
  </si>
  <si>
    <t>Características municipales</t>
  </si>
  <si>
    <t xml:space="preserve">Información de  ANP </t>
  </si>
  <si>
    <t xml:space="preserve"> Recursos destinados promedio (2010-2020)</t>
  </si>
  <si>
    <t xml:space="preserve"> Densidad poblacional (pob/km2)</t>
  </si>
  <si>
    <t xml:space="preserve"> Relación hombres-mujeres (homb. por cada 100 muj.)</t>
  </si>
  <si>
    <t xml:space="preserve"> Porcentaje residente en la entidad en marzo de 2015 (5+)</t>
  </si>
  <si>
    <t>Tipología</t>
  </si>
  <si>
    <t xml:space="preserve"> Porcentaje de población con alguna discapacidad</t>
  </si>
  <si>
    <t xml:space="preserve"> Años desde el establecimiento de la ANP</t>
  </si>
  <si>
    <t xml:space="preserve">Indicador </t>
  </si>
  <si>
    <t>SINAP</t>
  </si>
  <si>
    <t>Presupuesto promedio</t>
  </si>
  <si>
    <t>Categoría de Área Natural Protegida</t>
  </si>
  <si>
    <t xml:space="preserve">Santuario </t>
  </si>
  <si>
    <t>Áreas de Protección de Flora y Fauna</t>
  </si>
  <si>
    <t>Reservas de la Biosfera</t>
  </si>
  <si>
    <t>Cantidad ANPs</t>
  </si>
  <si>
    <r>
      <t xml:space="preserve">Extensión total </t>
    </r>
    <r>
      <rPr>
        <sz val="10"/>
        <color theme="1"/>
        <rFont val="Times New Roman"/>
        <family val="1"/>
      </rPr>
      <t>(km)</t>
    </r>
  </si>
  <si>
    <t>Media</t>
  </si>
  <si>
    <t>Densidad poblacional</t>
  </si>
  <si>
    <t>Diversidad étnica</t>
  </si>
  <si>
    <t>Superficie</t>
  </si>
  <si>
    <t>Varianza</t>
  </si>
  <si>
    <t>Antigüedad (años)</t>
  </si>
  <si>
    <t>Presupuesto</t>
  </si>
  <si>
    <t xml:space="preserve">Aquellas áreas que, por nula exposición humana, o fragilidad, requieren de un cuidado especial.   </t>
  </si>
  <si>
    <t>Elaboración propia con base en la LGEEPA, arts. 47 y 47 bis I.</t>
  </si>
  <si>
    <t>Elaboración propia con base en la LGEEPA art. 47 bis II.</t>
  </si>
  <si>
    <t>Fuente: Cálculos propios con datos de la CONANP</t>
  </si>
  <si>
    <t>Planicie Costera y Golfo de México</t>
  </si>
  <si>
    <t>Península de Yucatán y Caribe Mexicano</t>
  </si>
  <si>
    <t>Península de Baja California y Pacífico Norte; Noroeste y Alto Golfo de California</t>
  </si>
  <si>
    <t>Península de Baja California y Pacífico Norte, Occidente y Pacífico Centro y Frontera Sur, Istmo y Pacífico Sur,</t>
  </si>
  <si>
    <t>Península de Baja California y Pacífico Norte</t>
  </si>
  <si>
    <t>Occidente y Pacífico Centro</t>
  </si>
  <si>
    <t>Norte y Sierra Madre Occidental; Occidente y Pacífico Centro</t>
  </si>
  <si>
    <t>Norte y Sierra Madre Occidental</t>
  </si>
  <si>
    <t>Noroeste y Alto Golfo de California</t>
  </si>
  <si>
    <t>Noreste y Sierra Madre Oriental</t>
  </si>
  <si>
    <t>Frontera Sur, Istmo y Pacífico Sur</t>
  </si>
  <si>
    <t>Centro y Eje Neovolcánico</t>
  </si>
  <si>
    <t>REGION</t>
  </si>
  <si>
    <t>Región de Área Natural Protegida</t>
  </si>
  <si>
    <t>-</t>
  </si>
  <si>
    <t>Presupuesto anual promedio</t>
  </si>
  <si>
    <t>Pesos por km2</t>
  </si>
  <si>
    <t>Fuente:</t>
  </si>
  <si>
    <t>Solicitud de información y procesamiento propio (en miles)</t>
  </si>
  <si>
    <t>CAT_MANEJO</t>
  </si>
  <si>
    <t>APFF</t>
  </si>
  <si>
    <t>APRN</t>
  </si>
  <si>
    <t>MN</t>
  </si>
  <si>
    <t>PN</t>
  </si>
  <si>
    <t>RB</t>
  </si>
  <si>
    <t>SANT</t>
  </si>
  <si>
    <t xml:space="preserve">Fuente: Solicitud de información CONANP </t>
  </si>
  <si>
    <t>Datos en miles de pesos</t>
  </si>
  <si>
    <t>Fuente: elaboración con datos propios y el paquete Cobalt. Greifer, Noah. (2017). cobalt: Covariate Balance Tables and Plots. R package version 2.0.0</t>
  </si>
  <si>
    <t>Sin emparejamiento</t>
  </si>
  <si>
    <t xml:space="preserve">    Iniciamos remplazo</t>
  </si>
  <si>
    <r>
      <t xml:space="preserve">Vecino más cercano </t>
    </r>
    <r>
      <rPr>
        <sz val="10"/>
        <color theme="1"/>
        <rFont val="Times New Roman"/>
        <family val="1"/>
      </rPr>
      <t>caliper de 0.01</t>
    </r>
  </si>
  <si>
    <t>Emparejamiento completo</t>
  </si>
  <si>
    <r>
      <t>Vecino más cercano       s</t>
    </r>
    <r>
      <rPr>
        <sz val="10"/>
        <color theme="1"/>
        <rFont val="Times New Roman"/>
        <family val="1"/>
      </rPr>
      <t>in remplazo</t>
    </r>
  </si>
  <si>
    <t xml:space="preserve">    Otros métodos</t>
  </si>
  <si>
    <r>
      <t xml:space="preserve">Vecino más cercano        </t>
    </r>
    <r>
      <rPr>
        <sz val="10"/>
        <color theme="1"/>
        <rFont val="Times New Roman"/>
        <family val="1"/>
      </rPr>
      <t>con reemplazo</t>
    </r>
  </si>
  <si>
    <r>
      <t>0.657</t>
    </r>
    <r>
      <rPr>
        <vertAlign val="superscript"/>
        <sz val="10"/>
        <color theme="1"/>
        <rFont val="Times New Roman"/>
        <family val="1"/>
      </rPr>
      <t>***</t>
    </r>
  </si>
  <si>
    <r>
      <t>0.493</t>
    </r>
    <r>
      <rPr>
        <vertAlign val="superscript"/>
        <sz val="10"/>
        <color theme="1"/>
        <rFont val="Times New Roman"/>
        <family val="1"/>
      </rPr>
      <t>*</t>
    </r>
  </si>
  <si>
    <r>
      <t>0.39</t>
    </r>
    <r>
      <rPr>
        <vertAlign val="superscript"/>
        <sz val="10"/>
        <color theme="1"/>
        <rFont val="Times New Roman"/>
        <family val="1"/>
      </rPr>
      <t>*</t>
    </r>
  </si>
  <si>
    <r>
      <t>0.829</t>
    </r>
    <r>
      <rPr>
        <vertAlign val="superscript"/>
        <sz val="10"/>
        <color theme="1"/>
        <rFont val="Times New Roman"/>
        <family val="1"/>
      </rPr>
      <t>***</t>
    </r>
  </si>
  <si>
    <t>A. Resultados simples de regresión</t>
  </si>
  <si>
    <t>B. Tablas de balance</t>
  </si>
  <si>
    <t>Propensión</t>
  </si>
  <si>
    <t>Densidad Poblacional</t>
  </si>
  <si>
    <t>Elevación</t>
  </si>
  <si>
    <t>Integridad ecosistémica</t>
  </si>
  <si>
    <t>Población con discapacidad</t>
  </si>
  <si>
    <t xml:space="preserve">Precipitación  </t>
  </si>
  <si>
    <t>C. Muestreo</t>
  </si>
  <si>
    <t>Tratamiento   (%)</t>
  </si>
  <si>
    <t>Control   (%)</t>
  </si>
  <si>
    <t>N=939</t>
  </si>
  <si>
    <t>N=1394</t>
  </si>
  <si>
    <t>*</t>
  </si>
  <si>
    <t>Variable</t>
  </si>
  <si>
    <t>Fuente</t>
  </si>
  <si>
    <t>Factor de escala</t>
  </si>
  <si>
    <t>t-Test</t>
  </si>
  <si>
    <t xml:space="preserve">Índice de marginación </t>
  </si>
  <si>
    <t>ANP cerca de 10 km</t>
  </si>
  <si>
    <t>(0/1)</t>
  </si>
  <si>
    <t>Precipitación media anual</t>
  </si>
  <si>
    <t>Índice de integridad ecosistémica</t>
  </si>
  <si>
    <t>Población residente en el 2015</t>
  </si>
  <si>
    <t>Antigüedad</t>
  </si>
  <si>
    <t>Categoría de manejo</t>
  </si>
  <si>
    <t>Sistema Nacional AP</t>
  </si>
  <si>
    <t>CONABIO</t>
  </si>
  <si>
    <t>CONANP (2021)</t>
  </si>
  <si>
    <t>INEGI (2021)</t>
  </si>
  <si>
    <r>
      <t>personas/km</t>
    </r>
    <r>
      <rPr>
        <vertAlign val="superscript"/>
        <sz val="11"/>
        <color theme="1"/>
        <rFont val="Times New Roman"/>
        <family val="1"/>
      </rPr>
      <t>2</t>
    </r>
  </si>
  <si>
    <t>mm</t>
  </si>
  <si>
    <t>CONAPO (202)</t>
  </si>
  <si>
    <t>(0/100)</t>
  </si>
  <si>
    <t>miles de pesos</t>
  </si>
  <si>
    <t>msnm</t>
  </si>
  <si>
    <t>(0/100), %</t>
  </si>
  <si>
    <t>años</t>
  </si>
  <si>
    <t>factores</t>
  </si>
  <si>
    <r>
      <t>km</t>
    </r>
    <r>
      <rPr>
        <vertAlign val="superscript"/>
        <sz val="11"/>
        <color theme="1"/>
        <rFont val="Times New Roman"/>
        <family val="1"/>
      </rPr>
      <t>2</t>
    </r>
  </si>
  <si>
    <t>Hombres por cada 100 mujeres</t>
  </si>
  <si>
    <t xml:space="preserve">   Diversidad de tratamiento</t>
  </si>
  <si>
    <t xml:space="preserve">   Controles</t>
  </si>
  <si>
    <t xml:space="preserve">   Tratamiento</t>
  </si>
  <si>
    <t xml:space="preserve">   Impacto</t>
  </si>
  <si>
    <t>Emparejamiento genético (población de 1000)</t>
  </si>
  <si>
    <r>
      <t xml:space="preserve">Vecinos más cercano          </t>
    </r>
    <r>
      <rPr>
        <sz val="10"/>
        <color theme="1"/>
        <rFont val="Times New Roman"/>
        <family val="1"/>
      </rPr>
      <t>2 vecinos</t>
    </r>
  </si>
  <si>
    <t>CONANP (2022)</t>
  </si>
  <si>
    <t>***</t>
  </si>
  <si>
    <t>Nota:</t>
  </si>
  <si>
    <r>
      <t xml:space="preserve">   ‘***’ </t>
    </r>
    <r>
      <rPr>
        <i/>
        <sz val="10"/>
        <color theme="1"/>
        <rFont val="Times New Roman"/>
        <family val="1"/>
      </rPr>
      <t>p&lt; 0.01</t>
    </r>
    <r>
      <rPr>
        <sz val="10"/>
        <color theme="1"/>
        <rFont val="Times New Roman"/>
        <family val="1"/>
      </rPr>
      <t xml:space="preserve">;  ‘**’ </t>
    </r>
    <r>
      <rPr>
        <i/>
        <sz val="10"/>
        <color theme="1"/>
        <rFont val="Times New Roman"/>
        <family val="1"/>
      </rPr>
      <t>p&lt;0.05</t>
    </r>
    <r>
      <rPr>
        <sz val="10"/>
        <color theme="1"/>
        <rFont val="Times New Roman"/>
        <family val="1"/>
      </rPr>
      <t xml:space="preserve">;  ‘*’  </t>
    </r>
    <r>
      <rPr>
        <i/>
        <sz val="10"/>
        <color theme="1"/>
        <rFont val="Times New Roman"/>
        <family val="1"/>
      </rPr>
      <t>p&lt;0.1</t>
    </r>
  </si>
  <si>
    <t xml:space="preserve">        *        </t>
  </si>
  <si>
    <t>Fuente: Elaboración propia</t>
  </si>
  <si>
    <t xml:space="preserve"> Categorías</t>
  </si>
  <si>
    <t xml:space="preserve"> Superficie</t>
  </si>
  <si>
    <t>Precipitación media anual (1910-2009)</t>
  </si>
  <si>
    <t>Elevación media</t>
  </si>
  <si>
    <t>Variable dependiente</t>
  </si>
  <si>
    <t>(1)</t>
  </si>
  <si>
    <t>(2)</t>
  </si>
  <si>
    <t>(3)</t>
  </si>
  <si>
    <t>(4)</t>
  </si>
  <si>
    <t>Controles</t>
  </si>
  <si>
    <t>0.571</t>
  </si>
  <si>
    <t>Constante</t>
  </si>
  <si>
    <r>
      <t>0.258</t>
    </r>
    <r>
      <rPr>
        <vertAlign val="superscript"/>
        <sz val="10"/>
        <color theme="1"/>
        <rFont val="Times New Roman"/>
        <family val="1"/>
      </rPr>
      <t>*</t>
    </r>
  </si>
  <si>
    <t>Categorías de ANP</t>
  </si>
  <si>
    <t>Observaciones</t>
  </si>
  <si>
    <r>
      <t>R</t>
    </r>
    <r>
      <rPr>
        <vertAlign val="superscript"/>
        <sz val="11"/>
        <color theme="1"/>
        <rFont val="Times New Roman"/>
        <family val="1"/>
      </rPr>
      <t>2</t>
    </r>
  </si>
  <si>
    <r>
      <t>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Ajustada</t>
    </r>
  </si>
  <si>
    <t>Estadístico F</t>
  </si>
  <si>
    <r>
      <t>2.947</t>
    </r>
    <r>
      <rPr>
        <sz val="10"/>
        <color theme="1"/>
        <rFont val="Times New Roman"/>
        <family val="1"/>
      </rPr>
      <t>*</t>
    </r>
  </si>
  <si>
    <t>(df=1; 2316)</t>
  </si>
  <si>
    <r>
      <t>15.738</t>
    </r>
    <r>
      <rPr>
        <sz val="10"/>
        <color theme="1"/>
        <rFont val="Times New Roman"/>
        <family val="1"/>
      </rPr>
      <t>***</t>
    </r>
    <r>
      <rPr>
        <sz val="11"/>
        <color theme="1"/>
        <rFont val="Times New Roman"/>
        <family val="1"/>
      </rPr>
      <t xml:space="preserve"> </t>
    </r>
  </si>
  <si>
    <t>(df=5; 2312)</t>
  </si>
  <si>
    <t>(df=10; 1827)</t>
  </si>
  <si>
    <r>
      <t>23.412</t>
    </r>
    <r>
      <rPr>
        <sz val="10"/>
        <color theme="1"/>
        <rFont val="Times New Roman"/>
        <family val="1"/>
      </rPr>
      <t>***</t>
    </r>
    <r>
      <rPr>
        <sz val="11"/>
        <color theme="1"/>
        <rFont val="Times New Roman"/>
        <family val="1"/>
      </rPr>
      <t xml:space="preserve"> </t>
    </r>
  </si>
  <si>
    <r>
      <t>54.707</t>
    </r>
    <r>
      <rPr>
        <vertAlign val="superscript"/>
        <sz val="11"/>
        <color theme="1"/>
        <rFont val="Times New Roman"/>
        <family val="1"/>
      </rPr>
      <t>***</t>
    </r>
  </si>
  <si>
    <t>3.541 (df=2316)</t>
  </si>
  <si>
    <t>Errores est. residuales</t>
  </si>
  <si>
    <t>-0.758</t>
  </si>
  <si>
    <t>(0.000)</t>
  </si>
  <si>
    <t>(0.381)</t>
  </si>
  <si>
    <t>(0.008)</t>
  </si>
  <si>
    <t>(0.006)</t>
  </si>
  <si>
    <t>(0.003)</t>
  </si>
  <si>
    <t>(0.495)</t>
  </si>
  <si>
    <t>(0.591)</t>
  </si>
  <si>
    <t>(1.251)</t>
  </si>
  <si>
    <t>(0.481)</t>
  </si>
  <si>
    <t>(0.462)</t>
  </si>
  <si>
    <t>(0.988)</t>
  </si>
  <si>
    <t>(0.137)</t>
  </si>
  <si>
    <t>3.463 (df=2307)</t>
  </si>
  <si>
    <r>
      <t>11.8</t>
    </r>
    <r>
      <rPr>
        <sz val="10"/>
        <color theme="1"/>
        <rFont val="Times New Roman"/>
        <family val="1"/>
      </rPr>
      <t>***</t>
    </r>
    <r>
      <rPr>
        <sz val="11"/>
        <color theme="1"/>
        <rFont val="Times New Roman"/>
        <family val="1"/>
      </rPr>
      <t xml:space="preserve"> </t>
    </r>
  </si>
  <si>
    <t>(df=11.8; 2307)</t>
  </si>
  <si>
    <t>3.588 (df=2312)</t>
  </si>
  <si>
    <r>
      <t>1.440</t>
    </r>
    <r>
      <rPr>
        <vertAlign val="superscript"/>
        <sz val="10"/>
        <color theme="1"/>
        <rFont val="Times New Roman"/>
        <family val="1"/>
      </rPr>
      <t>**</t>
    </r>
  </si>
  <si>
    <r>
      <t>0.000</t>
    </r>
    <r>
      <rPr>
        <vertAlign val="superscript"/>
        <sz val="10"/>
        <color theme="1"/>
        <rFont val="Times New Roman"/>
        <family val="1"/>
      </rPr>
      <t>*</t>
    </r>
  </si>
  <si>
    <r>
      <t>0.000</t>
    </r>
    <r>
      <rPr>
        <vertAlign val="superscript"/>
        <sz val="11"/>
        <color theme="1"/>
        <rFont val="Times New Roman"/>
        <family val="1"/>
      </rPr>
      <t>***</t>
    </r>
  </si>
  <si>
    <r>
      <t xml:space="preserve"> -1.53</t>
    </r>
    <r>
      <rPr>
        <vertAlign val="superscript"/>
        <sz val="10"/>
        <color theme="1"/>
        <rFont val="Times New Roman"/>
        <family val="1"/>
      </rPr>
      <t>***</t>
    </r>
  </si>
  <si>
    <r>
      <t xml:space="preserve"> -4.208</t>
    </r>
    <r>
      <rPr>
        <vertAlign val="superscript"/>
        <sz val="11"/>
        <color theme="1"/>
        <rFont val="Times New Roman"/>
        <family val="1"/>
      </rPr>
      <t>***</t>
    </r>
  </si>
  <si>
    <r>
      <t>2.644</t>
    </r>
    <r>
      <rPr>
        <vertAlign val="superscript"/>
        <sz val="11"/>
        <color theme="1"/>
        <rFont val="Times New Roman"/>
        <family val="1"/>
      </rPr>
      <t>***</t>
    </r>
  </si>
  <si>
    <t>Ingreso medio por persona a nivel municipal</t>
  </si>
  <si>
    <r>
      <t xml:space="preserve">Media ANP </t>
    </r>
    <r>
      <rPr>
        <b/>
        <sz val="10"/>
        <color theme="1"/>
        <rFont val="Times New Roman"/>
        <family val="1"/>
      </rPr>
      <t>(n=993)</t>
    </r>
  </si>
  <si>
    <r>
      <t xml:space="preserve">Media Control </t>
    </r>
    <r>
      <rPr>
        <b/>
        <sz val="10"/>
        <color theme="1"/>
        <rFont val="Times New Roman"/>
        <family val="1"/>
      </rPr>
      <t>(n=1476)</t>
    </r>
  </si>
  <si>
    <t>Cuervo-Robayo et al (2014)</t>
  </si>
  <si>
    <t>Fuente: Elaboración propia con los artículos 48 a 55 de la LGEEPA</t>
  </si>
  <si>
    <t>Eliminamos outliers en 4.</t>
  </si>
  <si>
    <t>(0.005)</t>
  </si>
  <si>
    <r>
      <t xml:space="preserve"> -0.001</t>
    </r>
    <r>
      <rPr>
        <vertAlign val="superscript"/>
        <sz val="12"/>
        <color theme="1"/>
        <rFont val="Times New Roman"/>
        <family val="1"/>
      </rPr>
      <t>***</t>
    </r>
  </si>
  <si>
    <r>
      <t xml:space="preserve"> -0.992</t>
    </r>
    <r>
      <rPr>
        <vertAlign val="superscript"/>
        <sz val="10"/>
        <color theme="1"/>
        <rFont val="Times New Roman"/>
        <family val="1"/>
      </rPr>
      <t>**</t>
    </r>
  </si>
  <si>
    <t>(0.344)</t>
  </si>
  <si>
    <r>
      <rPr>
        <sz val="11"/>
        <color theme="1"/>
        <rFont val="Times New Roman"/>
        <family val="1"/>
      </rPr>
      <t xml:space="preserve"> -2.83</t>
    </r>
    <r>
      <rPr>
        <vertAlign val="superscript"/>
        <sz val="10"/>
        <color theme="1"/>
        <rFont val="Times New Roman"/>
        <family val="1"/>
      </rPr>
      <t>*</t>
    </r>
  </si>
  <si>
    <r>
      <t xml:space="preserve"> -4.659</t>
    </r>
    <r>
      <rPr>
        <vertAlign val="superscript"/>
        <sz val="10"/>
        <color theme="1"/>
        <rFont val="Times New Roman"/>
        <family val="1"/>
      </rPr>
      <t>**</t>
    </r>
  </si>
  <si>
    <t>(0.435)</t>
  </si>
  <si>
    <t>(0.734)</t>
  </si>
  <si>
    <t>(0.321)</t>
  </si>
  <si>
    <t>(0.327)</t>
  </si>
  <si>
    <t>(0.468)</t>
  </si>
  <si>
    <t>(0.112)</t>
  </si>
  <si>
    <r>
      <t>54.83</t>
    </r>
    <r>
      <rPr>
        <vertAlign val="superscript"/>
        <sz val="11"/>
        <color theme="1"/>
        <rFont val="Times New Roman"/>
        <family val="1"/>
      </rPr>
      <t>***</t>
    </r>
  </si>
  <si>
    <t>(154.4)</t>
  </si>
  <si>
    <r>
      <t>535.5</t>
    </r>
    <r>
      <rPr>
        <vertAlign val="superscript"/>
        <sz val="10"/>
        <color theme="1"/>
        <rFont val="Times New Roman"/>
        <family val="1"/>
      </rPr>
      <t>***</t>
    </r>
  </si>
  <si>
    <r>
      <t>2,982.6</t>
    </r>
    <r>
      <rPr>
        <vertAlign val="superscript"/>
        <sz val="10"/>
        <color theme="1"/>
        <rFont val="Times New Roman"/>
        <family val="1"/>
      </rPr>
      <t>***</t>
    </r>
  </si>
  <si>
    <t>(112.1)</t>
  </si>
  <si>
    <t>3,097 (df=2306)</t>
  </si>
  <si>
    <t>(df=1; 2306)</t>
  </si>
  <si>
    <r>
      <t>16.62</t>
    </r>
    <r>
      <rPr>
        <vertAlign val="superscript"/>
        <sz val="10"/>
        <color theme="1"/>
        <rFont val="Times New Roman"/>
        <family val="1"/>
      </rPr>
      <t>***</t>
    </r>
  </si>
  <si>
    <t>(8.25)</t>
  </si>
  <si>
    <t>(0.004)</t>
  </si>
  <si>
    <t>(456.2)</t>
  </si>
  <si>
    <r>
      <t>1,892.73</t>
    </r>
    <r>
      <rPr>
        <vertAlign val="superscript"/>
        <sz val="10"/>
        <color theme="1"/>
        <rFont val="Times New Roman"/>
        <family val="1"/>
      </rPr>
      <t>***</t>
    </r>
  </si>
  <si>
    <r>
      <t xml:space="preserve"> -1,105.49</t>
    </r>
    <r>
      <rPr>
        <vertAlign val="superscript"/>
        <sz val="10"/>
        <color theme="1"/>
        <rFont val="Times New Roman"/>
        <family val="1"/>
      </rPr>
      <t>**</t>
    </r>
  </si>
  <si>
    <t>2998 (df=2302)</t>
  </si>
  <si>
    <r>
      <t>19.63</t>
    </r>
    <r>
      <rPr>
        <vertAlign val="superscript"/>
        <sz val="10"/>
        <color theme="1"/>
        <rFont val="Times New Roman"/>
        <family val="1"/>
      </rPr>
      <t>***</t>
    </r>
    <r>
      <rPr>
        <vertAlign val="superscript"/>
        <sz val="11"/>
        <color theme="1"/>
        <rFont val="Times New Roman"/>
        <family val="1"/>
      </rPr>
      <t xml:space="preserve"> </t>
    </r>
  </si>
  <si>
    <t>(df=5; 2302)</t>
  </si>
  <si>
    <t>2978(df=2297)</t>
  </si>
  <si>
    <r>
      <t>13.45</t>
    </r>
    <r>
      <rPr>
        <vertAlign val="superscript"/>
        <sz val="10"/>
        <color theme="1"/>
        <rFont val="Times New Roman"/>
        <family val="1"/>
      </rPr>
      <t>***</t>
    </r>
    <r>
      <rPr>
        <vertAlign val="superscript"/>
        <sz val="11"/>
        <color theme="1"/>
        <rFont val="Times New Roman"/>
        <family val="1"/>
      </rPr>
      <t xml:space="preserve"> </t>
    </r>
  </si>
  <si>
    <t>(df=10; 2297)</t>
  </si>
  <si>
    <r>
      <t>1,928.36</t>
    </r>
    <r>
      <rPr>
        <vertAlign val="superscript"/>
        <sz val="10"/>
        <color theme="1"/>
        <rFont val="Times New Roman"/>
        <family val="1"/>
      </rPr>
      <t>***</t>
    </r>
  </si>
  <si>
    <t>(658.8)</t>
  </si>
  <si>
    <t>(12.23)</t>
  </si>
  <si>
    <r>
      <t xml:space="preserve"> -0.240</t>
    </r>
    <r>
      <rPr>
        <vertAlign val="superscript"/>
        <sz val="11"/>
        <color theme="1"/>
        <rFont val="Times New Roman"/>
        <family val="1"/>
      </rPr>
      <t>***</t>
    </r>
  </si>
  <si>
    <t>(0.002)</t>
  </si>
  <si>
    <t>0.006*</t>
  </si>
  <si>
    <t>(466.405)</t>
  </si>
  <si>
    <t>(516.97)</t>
  </si>
  <si>
    <r>
      <t>1,048.71</t>
    </r>
    <r>
      <rPr>
        <vertAlign val="superscript"/>
        <sz val="10"/>
        <color theme="1"/>
        <rFont val="Times New Roman"/>
        <family val="1"/>
      </rPr>
      <t>**</t>
    </r>
  </si>
  <si>
    <r>
      <t xml:space="preserve"> -1,509.1</t>
    </r>
    <r>
      <rPr>
        <vertAlign val="superscript"/>
        <sz val="11"/>
        <color theme="1"/>
        <rFont val="Times New Roman"/>
        <family val="1"/>
      </rPr>
      <t>***</t>
    </r>
  </si>
  <si>
    <t>(436.490)</t>
  </si>
  <si>
    <t>(1,706)</t>
  </si>
  <si>
    <t>(79.102)</t>
  </si>
  <si>
    <r>
      <t xml:space="preserve"> 2,523.83</t>
    </r>
    <r>
      <rPr>
        <vertAlign val="superscript"/>
        <sz val="10"/>
        <color theme="1"/>
        <rFont val="Times New Roman"/>
        <family val="1"/>
      </rPr>
      <t>***</t>
    </r>
  </si>
  <si>
    <t>(613.9)</t>
  </si>
  <si>
    <t>(737.50)</t>
  </si>
  <si>
    <r>
      <t>1,481.697</t>
    </r>
    <r>
      <rPr>
        <vertAlign val="superscript"/>
        <sz val="10"/>
        <color theme="1"/>
        <rFont val="Times New Roman"/>
        <family val="1"/>
      </rPr>
      <t>**</t>
    </r>
  </si>
  <si>
    <t>(0.023)</t>
  </si>
  <si>
    <r>
      <t xml:space="preserve"> -0.244</t>
    </r>
    <r>
      <rPr>
        <vertAlign val="superscript"/>
        <sz val="10"/>
        <color theme="1"/>
        <rFont val="Times New Roman"/>
        <family val="1"/>
      </rPr>
      <t>***</t>
    </r>
  </si>
  <si>
    <t>(0.059)</t>
  </si>
  <si>
    <t>(601.576)</t>
  </si>
  <si>
    <t xml:space="preserve">Ingreso promedio por persona </t>
  </si>
  <si>
    <t>(691.55)</t>
  </si>
  <si>
    <t>(931.65)</t>
  </si>
  <si>
    <t>(861.31)</t>
  </si>
  <si>
    <r>
      <t xml:space="preserve"> 1,201.97</t>
    </r>
    <r>
      <rPr>
        <vertAlign val="superscript"/>
        <sz val="10"/>
        <color theme="1"/>
        <rFont val="Times New Roman"/>
        <family val="1"/>
      </rPr>
      <t>*</t>
    </r>
  </si>
  <si>
    <t>(627.65)</t>
  </si>
  <si>
    <r>
      <t xml:space="preserve"> -1,466.71</t>
    </r>
    <r>
      <rPr>
        <vertAlign val="superscript"/>
        <sz val="10"/>
        <color theme="1"/>
        <rFont val="Times New Roman"/>
        <family val="1"/>
      </rPr>
      <t>***</t>
    </r>
  </si>
  <si>
    <t>(434.11)</t>
  </si>
  <si>
    <t>(1714.63)</t>
  </si>
  <si>
    <r>
      <t>2,959.00</t>
    </r>
    <r>
      <rPr>
        <vertAlign val="superscript"/>
        <sz val="11"/>
        <color theme="1"/>
        <rFont val="Times New Roman"/>
        <family val="1"/>
      </rPr>
      <t>***</t>
    </r>
  </si>
  <si>
    <t>(120.80)</t>
  </si>
  <si>
    <t>3094 (df=1932)</t>
  </si>
  <si>
    <r>
      <t>7.526</t>
    </r>
    <r>
      <rPr>
        <sz val="10"/>
        <color theme="1"/>
        <rFont val="Times New Roman"/>
        <family val="1"/>
      </rPr>
      <t>***</t>
    </r>
    <r>
      <rPr>
        <sz val="11"/>
        <color theme="1"/>
        <rFont val="Times New Roman"/>
        <family val="1"/>
      </rPr>
      <t xml:space="preserve"> </t>
    </r>
  </si>
  <si>
    <t>(df=10; 1932)</t>
  </si>
  <si>
    <t>Indicadores de marginación</t>
  </si>
  <si>
    <t xml:space="preserve"> Analfabeta</t>
  </si>
  <si>
    <t xml:space="preserve"> Sin educación básica</t>
  </si>
  <si>
    <t>Ingresos de dos smm</t>
  </si>
  <si>
    <t>Localidad &lt;5000 hab.</t>
  </si>
  <si>
    <t>Controles ANPs</t>
  </si>
  <si>
    <t>X</t>
  </si>
  <si>
    <t>0.215</t>
  </si>
  <si>
    <t>(0.246)</t>
  </si>
  <si>
    <r>
      <t xml:space="preserve"> -3.074</t>
    </r>
    <r>
      <rPr>
        <vertAlign val="superscript"/>
        <sz val="10"/>
        <color theme="1"/>
        <rFont val="Times New Roman"/>
        <family val="1"/>
      </rPr>
      <t>***</t>
    </r>
  </si>
  <si>
    <t>(0.645)</t>
  </si>
  <si>
    <r>
      <t>0.434</t>
    </r>
    <r>
      <rPr>
        <vertAlign val="superscript"/>
        <sz val="10"/>
        <color theme="1"/>
        <rFont val="Times New Roman"/>
        <family val="1"/>
      </rPr>
      <t>**</t>
    </r>
  </si>
  <si>
    <r>
      <t>-2.174</t>
    </r>
    <r>
      <rPr>
        <vertAlign val="superscript"/>
        <sz val="10"/>
        <color theme="1"/>
        <rFont val="Times New Roman"/>
        <family val="1"/>
      </rPr>
      <t>***</t>
    </r>
  </si>
  <si>
    <t>(0.597)</t>
  </si>
  <si>
    <r>
      <t xml:space="preserve"> -8.311</t>
    </r>
    <r>
      <rPr>
        <vertAlign val="superscript"/>
        <sz val="10"/>
        <color theme="1"/>
        <rFont val="Times New Roman"/>
        <family val="1"/>
      </rPr>
      <t>***</t>
    </r>
  </si>
  <si>
    <t xml:space="preserve"> (1.872)</t>
  </si>
  <si>
    <t>0.174</t>
  </si>
  <si>
    <t xml:space="preserve"> (0.110)</t>
  </si>
  <si>
    <t>(0.336)</t>
  </si>
  <si>
    <t>Sin drenaje/sanitario</t>
  </si>
  <si>
    <t>(0.348)</t>
  </si>
  <si>
    <r>
      <t xml:space="preserve"> -0.92</t>
    </r>
    <r>
      <rPr>
        <vertAlign val="superscript"/>
        <sz val="11"/>
        <color theme="1"/>
        <rFont val="Times New Roman"/>
        <family val="1"/>
      </rPr>
      <t>***</t>
    </r>
  </si>
  <si>
    <t>(0.482)</t>
  </si>
  <si>
    <r>
      <t xml:space="preserve"> -9.387</t>
    </r>
    <r>
      <rPr>
        <vertAlign val="superscript"/>
        <sz val="10"/>
        <color theme="1"/>
        <rFont val="Times New Roman"/>
        <family val="1"/>
      </rPr>
      <t>***</t>
    </r>
  </si>
  <si>
    <t xml:space="preserve"> (1.937)</t>
  </si>
  <si>
    <t>Hacinamiento</t>
  </si>
  <si>
    <r>
      <t xml:space="preserve"> -4.127</t>
    </r>
    <r>
      <rPr>
        <vertAlign val="superscript"/>
        <sz val="10"/>
        <color theme="1"/>
        <rFont val="Times New Roman"/>
        <family val="1"/>
      </rPr>
      <t>**</t>
    </r>
  </si>
  <si>
    <t xml:space="preserve"> (1.55)</t>
  </si>
  <si>
    <r>
      <t xml:space="preserve"> -3.75</t>
    </r>
    <r>
      <rPr>
        <vertAlign val="superscript"/>
        <sz val="10"/>
        <color theme="1"/>
        <rFont val="Times New Roman"/>
        <family val="1"/>
      </rPr>
      <t>***</t>
    </r>
  </si>
  <si>
    <t>(0.881)</t>
  </si>
  <si>
    <r>
      <t xml:space="preserve"> -1.88</t>
    </r>
    <r>
      <rPr>
        <vertAlign val="superscript"/>
        <sz val="10"/>
        <color theme="1"/>
        <rFont val="Times New Roman"/>
        <family val="1"/>
      </rPr>
      <t>***</t>
    </r>
  </si>
  <si>
    <t>(0.691)</t>
  </si>
  <si>
    <t xml:space="preserve"> (0.535)</t>
  </si>
  <si>
    <t>-1.586</t>
  </si>
  <si>
    <t>(1.089)</t>
  </si>
  <si>
    <r>
      <t xml:space="preserve"> -7.129</t>
    </r>
    <r>
      <rPr>
        <vertAlign val="superscript"/>
        <sz val="10"/>
        <color theme="1"/>
        <rFont val="Times New Roman"/>
        <family val="1"/>
      </rPr>
      <t>***</t>
    </r>
  </si>
  <si>
    <t>(2.22)</t>
  </si>
  <si>
    <r>
      <t xml:space="preserve"> -15.192</t>
    </r>
    <r>
      <rPr>
        <vertAlign val="superscript"/>
        <sz val="10"/>
        <color theme="1"/>
        <rFont val="Times New Roman"/>
        <family val="1"/>
      </rPr>
      <t>***</t>
    </r>
  </si>
  <si>
    <t>(5.331)</t>
  </si>
  <si>
    <t>0.195</t>
  </si>
  <si>
    <t>(0.598)</t>
  </si>
  <si>
    <t>Apéndice 2 - Tablas de balance</t>
  </si>
  <si>
    <t>SUPERFICIE</t>
  </si>
  <si>
    <t>S_MARINA</t>
  </si>
  <si>
    <t>S_TERRES</t>
  </si>
  <si>
    <t>presupuesto</t>
  </si>
  <si>
    <t>Presupuesto por kilómetro cuadrado</t>
  </si>
  <si>
    <t>Terrestre</t>
  </si>
  <si>
    <t>Marina</t>
  </si>
  <si>
    <r>
      <t xml:space="preserve">Extensión total </t>
    </r>
    <r>
      <rPr>
        <b/>
        <sz val="10"/>
        <color theme="1"/>
        <rFont val="Times New Roman"/>
        <family val="1"/>
      </rPr>
      <t>(km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)</t>
    </r>
  </si>
  <si>
    <r>
      <t>Pesos por km</t>
    </r>
    <r>
      <rPr>
        <b/>
        <vertAlign val="superscript"/>
        <sz val="11"/>
        <color theme="1"/>
        <rFont val="Times New Roman"/>
        <family val="1"/>
      </rPr>
      <t>2</t>
    </r>
  </si>
  <si>
    <t>Tabla 2.3 C: Indicadores dentro del índice de propensión</t>
  </si>
  <si>
    <r>
      <t xml:space="preserve"> -2.462</t>
    </r>
    <r>
      <rPr>
        <vertAlign val="superscript"/>
        <sz val="11"/>
        <color theme="1"/>
        <rFont val="Times New Roman"/>
        <family val="1"/>
      </rPr>
      <t>***</t>
    </r>
  </si>
  <si>
    <t>Tabla 2.4 A: Refinamiento marginación</t>
  </si>
  <si>
    <t>Tabla 2.4 C: Refinamiento ingreso</t>
  </si>
  <si>
    <t>Ingreso</t>
  </si>
  <si>
    <t>Marginación</t>
  </si>
  <si>
    <t>Cercanía</t>
  </si>
  <si>
    <t>Características</t>
  </si>
  <si>
    <t>Impacto</t>
  </si>
  <si>
    <t>Categorías</t>
  </si>
  <si>
    <t>Panel B. Resultados tras refinación</t>
  </si>
  <si>
    <t>Tablas de resumen</t>
  </si>
  <si>
    <t xml:space="preserve">Panel A. Resultados </t>
  </si>
  <si>
    <t>Representan uno o más ecosistemas no alterados por el ser humano que, en conjunto con sus especies, sean  relevantes para la biodiversidad   del país</t>
  </si>
  <si>
    <t>Permite actividades de preservación, educación ambiental y se prohibe aprovechamiento (con excepción de vida silvestre, debe aprovecharse en un formato de bajo impacto). Restringe flujo de embarcaciones en zonas marítimas.</t>
  </si>
  <si>
    <t>Pob. Residente (2015)</t>
  </si>
  <si>
    <t>Hombres (por cada 100 muj.)</t>
  </si>
  <si>
    <t>Pob. con discapacidad</t>
  </si>
  <si>
    <t xml:space="preserve">Nota:  </t>
  </si>
  <si>
    <t>Tabla 1.2 - Subzonas de aprovechamiento</t>
  </si>
  <si>
    <t>Tabla 1.3 - Subzonas permitidas por categoría</t>
  </si>
  <si>
    <t>Tabla 2.1 - Variables, medias para ambas muestras (cercanas, no cercanas) y prueba de diferencia de medias</t>
  </si>
  <si>
    <t>Tabla 2.2 - Cuadro resumen de índices</t>
  </si>
  <si>
    <t>Tabla 2.4 - Desglose por componentes</t>
  </si>
  <si>
    <t>Tabla 2.3 - Resultados para índice de marginación</t>
  </si>
  <si>
    <t>Tabla 2.5 - Resultados para el ingreso medio per cápita</t>
  </si>
  <si>
    <t>Tabla 1.4 – Indicadores de interés (por categoría de manejo)</t>
  </si>
  <si>
    <r>
      <rPr>
        <b/>
        <sz val="10"/>
        <color theme="1"/>
        <rFont val="Times New Roman"/>
        <family val="1"/>
      </rPr>
      <t xml:space="preserve">Fuente: </t>
    </r>
    <r>
      <rPr>
        <sz val="10"/>
        <color theme="1"/>
        <rFont val="Times New Roman"/>
        <family val="1"/>
      </rPr>
      <t>Elaboración propia.</t>
    </r>
  </si>
  <si>
    <t>Fuente: Elaboración propia con base en la nota metodológica del Índice de marginación (2021) y adaptación de Alesina et al. (1999).</t>
  </si>
  <si>
    <t>Tabla 1.1 - Subzonas núcleo</t>
  </si>
  <si>
    <t>Sin datos atípicos</t>
  </si>
  <si>
    <t>Cofactores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</si>
</sst>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0.000"/>
    <numFmt numFmtId="166" formatCode="0.000_);\(0.000\)"/>
    <numFmt numFmtId="167" formatCode="0.0000"/>
    <numFmt numFmtId="168" formatCode="_-&quot;$&quot;* #,##0.0_-;\-&quot;$&quot;* #,##0.0_-;_-&quot;$&quot;* &quot;-&quot;??_-;_-@_-"/>
    <numFmt numFmtId="169" formatCode="0.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2"/>
      <color rgb="FF000000"/>
      <name val="Roboto Condensed"/>
    </font>
    <font>
      <sz val="12"/>
      <color rgb="FF000000"/>
      <name val="Roboto Condensed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vertAlign val="superscript"/>
      <sz val="12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251">
    <xf numFmtId="0" fontId="0" fillId="0" borderId="0" xfId="0"/>
    <xf numFmtId="0" fontId="1" fillId="0" borderId="0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0" fillId="0" borderId="0" xfId="0" applyAlignment="1"/>
    <xf numFmtId="0" fontId="7" fillId="3" borderId="11" xfId="0" applyFont="1" applyFill="1" applyBorder="1" applyAlignment="1">
      <alignment horizontal="center" vertical="center" wrapText="1" readingOrder="1"/>
    </xf>
    <xf numFmtId="0" fontId="7" fillId="4" borderId="11" xfId="0" applyFont="1" applyFill="1" applyBorder="1" applyAlignment="1">
      <alignment horizontal="center" vertical="center" wrapText="1" readingOrder="1"/>
    </xf>
    <xf numFmtId="0" fontId="7" fillId="4" borderId="14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vertical="center" wrapText="1"/>
    </xf>
    <xf numFmtId="0" fontId="0" fillId="0" borderId="0" xfId="0" applyBorder="1"/>
    <xf numFmtId="0" fontId="3" fillId="5" borderId="15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44" fontId="3" fillId="0" borderId="0" xfId="1" applyFont="1" applyBorder="1" applyAlignment="1">
      <alignment horizontal="center"/>
    </xf>
    <xf numFmtId="0" fontId="11" fillId="0" borderId="0" xfId="0" applyFont="1" applyAlignment="1">
      <alignment wrapText="1"/>
    </xf>
    <xf numFmtId="2" fontId="11" fillId="0" borderId="0" xfId="0" applyNumberFormat="1" applyFont="1" applyAlignment="1">
      <alignment wrapText="1"/>
    </xf>
    <xf numFmtId="0" fontId="9" fillId="0" borderId="0" xfId="0" applyFont="1" applyAlignment="1">
      <alignment horizontal="center" wrapText="1"/>
    </xf>
    <xf numFmtId="44" fontId="11" fillId="0" borderId="0" xfId="1" applyFont="1" applyAlignment="1">
      <alignment wrapText="1"/>
    </xf>
    <xf numFmtId="4" fontId="11" fillId="0" borderId="0" xfId="0" applyNumberFormat="1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vertical="center"/>
    </xf>
    <xf numFmtId="0" fontId="0" fillId="0" borderId="0" xfId="0" applyBorder="1" applyAlignment="1"/>
    <xf numFmtId="0" fontId="4" fillId="0" borderId="0" xfId="0" applyFont="1" applyBorder="1" applyAlignment="1"/>
    <xf numFmtId="4" fontId="3" fillId="0" borderId="0" xfId="0" applyNumberFormat="1" applyFont="1" applyBorder="1" applyAlignment="1">
      <alignment horizontal="center"/>
    </xf>
    <xf numFmtId="44" fontId="3" fillId="0" borderId="4" xfId="0" applyNumberFormat="1" applyFont="1" applyBorder="1"/>
    <xf numFmtId="44" fontId="3" fillId="0" borderId="10" xfId="0" applyNumberFormat="1" applyFont="1" applyBorder="1"/>
    <xf numFmtId="0" fontId="3" fillId="0" borderId="6" xfId="0" applyFont="1" applyFill="1" applyBorder="1" applyAlignment="1">
      <alignment horizontal="center" vertical="center" wrapText="1"/>
    </xf>
    <xf numFmtId="44" fontId="3" fillId="0" borderId="0" xfId="0" applyNumberFormat="1" applyFont="1" applyBorder="1"/>
    <xf numFmtId="164" fontId="0" fillId="0" borderId="0" xfId="0" applyNumberFormat="1"/>
    <xf numFmtId="14" fontId="0" fillId="0" borderId="0" xfId="0" applyNumberFormat="1"/>
    <xf numFmtId="165" fontId="3" fillId="0" borderId="0" xfId="0" applyNumberFormat="1" applyFont="1"/>
    <xf numFmtId="0" fontId="3" fillId="6" borderId="0" xfId="0" applyFont="1" applyFill="1"/>
    <xf numFmtId="0" fontId="3" fillId="6" borderId="0" xfId="0" applyFont="1" applyFill="1" applyAlignment="1">
      <alignment vertical="center"/>
    </xf>
    <xf numFmtId="165" fontId="3" fillId="6" borderId="0" xfId="0" applyNumberFormat="1" applyFont="1" applyFill="1"/>
    <xf numFmtId="165" fontId="3" fillId="6" borderId="0" xfId="0" applyNumberFormat="1" applyFont="1" applyFill="1" applyAlignment="1">
      <alignment horizontal="center" vertical="top"/>
    </xf>
    <xf numFmtId="166" fontId="4" fillId="6" borderId="0" xfId="0" applyNumberFormat="1" applyFont="1" applyFill="1" applyAlignment="1">
      <alignment horizontal="center" vertical="top"/>
    </xf>
    <xf numFmtId="0" fontId="13" fillId="6" borderId="0" xfId="0" applyFont="1" applyFill="1" applyAlignment="1">
      <alignment horizontal="right" vertical="center"/>
    </xf>
    <xf numFmtId="0" fontId="8" fillId="6" borderId="0" xfId="0" applyFont="1" applyFill="1" applyAlignment="1"/>
    <xf numFmtId="2" fontId="3" fillId="6" borderId="0" xfId="0" applyNumberFormat="1" applyFont="1" applyFill="1"/>
    <xf numFmtId="0" fontId="8" fillId="6" borderId="19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8" fillId="6" borderId="19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4" fontId="3" fillId="6" borderId="0" xfId="0" applyNumberFormat="1" applyFont="1" applyFill="1" applyAlignment="1">
      <alignment horizontal="center" vertical="center"/>
    </xf>
    <xf numFmtId="0" fontId="4" fillId="6" borderId="3" xfId="0" applyFont="1" applyFill="1" applyBorder="1" applyAlignment="1">
      <alignment vertical="center" wrapText="1"/>
    </xf>
    <xf numFmtId="0" fontId="3" fillId="6" borderId="0" xfId="0" applyFont="1" applyFill="1" applyBorder="1"/>
    <xf numFmtId="0" fontId="3" fillId="6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13" fillId="6" borderId="19" xfId="0" applyFont="1" applyFill="1" applyBorder="1" applyAlignment="1">
      <alignment horizontal="left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0" fontId="3" fillId="6" borderId="17" xfId="0" applyFont="1" applyFill="1" applyBorder="1" applyAlignment="1">
      <alignment horizontal="left"/>
    </xf>
    <xf numFmtId="49" fontId="3" fillId="6" borderId="0" xfId="0" applyNumberFormat="1" applyFont="1" applyFill="1" applyAlignment="1">
      <alignment vertical="center"/>
    </xf>
    <xf numFmtId="49" fontId="3" fillId="6" borderId="0" xfId="0" applyNumberFormat="1" applyFont="1" applyFill="1" applyAlignment="1">
      <alignment horizontal="center" vertical="top"/>
    </xf>
    <xf numFmtId="49" fontId="4" fillId="6" borderId="0" xfId="0" applyNumberFormat="1" applyFont="1" applyFill="1" applyAlignment="1">
      <alignment horizontal="center" vertical="top"/>
    </xf>
    <xf numFmtId="0" fontId="3" fillId="6" borderId="0" xfId="0" applyFont="1" applyFill="1" applyBorder="1" applyAlignment="1">
      <alignment vertical="center"/>
    </xf>
    <xf numFmtId="0" fontId="0" fillId="6" borderId="0" xfId="0" applyFill="1" applyBorder="1" applyAlignment="1">
      <alignment horizontal="center" vertical="center"/>
    </xf>
    <xf numFmtId="0" fontId="3" fillId="6" borderId="16" xfId="0" applyFont="1" applyFill="1" applyBorder="1"/>
    <xf numFmtId="0" fontId="3" fillId="6" borderId="16" xfId="0" applyFont="1" applyFill="1" applyBorder="1" applyAlignment="1">
      <alignment vertical="center"/>
    </xf>
    <xf numFmtId="0" fontId="3" fillId="6" borderId="16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166" fontId="4" fillId="6" borderId="0" xfId="0" applyNumberFormat="1" applyFont="1" applyFill="1" applyAlignment="1">
      <alignment horizontal="center"/>
    </xf>
    <xf numFmtId="0" fontId="3" fillId="6" borderId="0" xfId="0" applyFont="1" applyFill="1" applyBorder="1" applyAlignment="1">
      <alignment horizontal="center" vertical="top"/>
    </xf>
    <xf numFmtId="2" fontId="3" fillId="6" borderId="0" xfId="0" applyNumberFormat="1" applyFont="1" applyFill="1" applyAlignment="1">
      <alignment horizontal="center" vertical="top"/>
    </xf>
    <xf numFmtId="2" fontId="3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wrapText="1"/>
    </xf>
    <xf numFmtId="4" fontId="3" fillId="6" borderId="0" xfId="0" applyNumberFormat="1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4" fontId="3" fillId="6" borderId="0" xfId="0" applyNumberFormat="1" applyFont="1" applyFill="1" applyBorder="1" applyAlignment="1">
      <alignment horizontal="center" vertical="center"/>
    </xf>
    <xf numFmtId="4" fontId="3" fillId="6" borderId="0" xfId="0" applyNumberFormat="1" applyFont="1" applyFill="1" applyBorder="1" applyAlignment="1">
      <alignment horizontal="center" vertical="top"/>
    </xf>
    <xf numFmtId="3" fontId="3" fillId="6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vertical="center"/>
    </xf>
    <xf numFmtId="4" fontId="4" fillId="6" borderId="0" xfId="0" applyNumberFormat="1" applyFont="1" applyFill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49" fontId="4" fillId="0" borderId="0" xfId="0" applyNumberFormat="1" applyFont="1" applyAlignment="1">
      <alignment horizontal="center"/>
    </xf>
    <xf numFmtId="0" fontId="0" fillId="6" borderId="0" xfId="0" applyFill="1"/>
    <xf numFmtId="0" fontId="8" fillId="6" borderId="0" xfId="0" applyFont="1" applyFill="1"/>
    <xf numFmtId="0" fontId="3" fillId="6" borderId="0" xfId="0" applyFont="1" applyFill="1" applyAlignment="1">
      <alignment horizontal="left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167" fontId="0" fillId="0" borderId="0" xfId="0" applyNumberFormat="1"/>
    <xf numFmtId="0" fontId="3" fillId="6" borderId="0" xfId="0" applyFont="1" applyFill="1" applyBorder="1" applyAlignment="1">
      <alignment horizontal="left" vertical="center" wrapText="1"/>
    </xf>
    <xf numFmtId="0" fontId="3" fillId="6" borderId="16" xfId="0" applyFont="1" applyFill="1" applyBorder="1" applyAlignment="1">
      <alignment horizontal="left" vertical="center" wrapText="1"/>
    </xf>
    <xf numFmtId="44" fontId="0" fillId="6" borderId="0" xfId="0" applyNumberFormat="1" applyFill="1"/>
    <xf numFmtId="44" fontId="3" fillId="6" borderId="0" xfId="0" applyNumberFormat="1" applyFont="1" applyFill="1" applyBorder="1" applyAlignment="1">
      <alignment horizontal="center" vertical="center"/>
    </xf>
    <xf numFmtId="44" fontId="3" fillId="6" borderId="16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6" borderId="0" xfId="0" applyFill="1" applyBorder="1"/>
    <xf numFmtId="0" fontId="0" fillId="6" borderId="10" xfId="0" applyFill="1" applyBorder="1" applyAlignment="1"/>
    <xf numFmtId="0" fontId="0" fillId="6" borderId="9" xfId="0" applyFill="1" applyBorder="1" applyAlignment="1">
      <alignment vertical="center"/>
    </xf>
    <xf numFmtId="0" fontId="4" fillId="6" borderId="0" xfId="0" applyFont="1" applyFill="1" applyBorder="1" applyAlignment="1">
      <alignment horizontal="center"/>
    </xf>
    <xf numFmtId="0" fontId="9" fillId="6" borderId="0" xfId="0" applyFont="1" applyFill="1" applyBorder="1" applyAlignment="1">
      <alignment vertical="center"/>
    </xf>
    <xf numFmtId="0" fontId="11" fillId="6" borderId="0" xfId="0" applyFont="1" applyFill="1"/>
    <xf numFmtId="44" fontId="11" fillId="6" borderId="0" xfId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9" fillId="6" borderId="10" xfId="0" applyFont="1" applyFill="1" applyBorder="1"/>
    <xf numFmtId="0" fontId="8" fillId="6" borderId="5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8" fontId="11" fillId="6" borderId="0" xfId="0" applyNumberFormat="1" applyFont="1" applyFill="1"/>
    <xf numFmtId="164" fontId="24" fillId="6" borderId="0" xfId="0" applyNumberFormat="1" applyFont="1" applyFill="1"/>
    <xf numFmtId="8" fontId="11" fillId="6" borderId="0" xfId="1" applyNumberFormat="1" applyFont="1" applyFill="1" applyAlignment="1">
      <alignment horizontal="center"/>
    </xf>
    <xf numFmtId="0" fontId="9" fillId="6" borderId="0" xfId="0" applyFont="1" applyFill="1" applyAlignment="1"/>
    <xf numFmtId="0" fontId="3" fillId="6" borderId="25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4" fontId="3" fillId="6" borderId="26" xfId="0" applyNumberFormat="1" applyFont="1" applyFill="1" applyBorder="1" applyAlignment="1">
      <alignment horizontal="center" vertical="center"/>
    </xf>
    <xf numFmtId="4" fontId="3" fillId="6" borderId="27" xfId="0" applyNumberFormat="1" applyFont="1" applyFill="1" applyBorder="1" applyAlignment="1">
      <alignment horizontal="center" vertical="center"/>
    </xf>
    <xf numFmtId="4" fontId="3" fillId="6" borderId="28" xfId="0" applyNumberFormat="1" applyFont="1" applyFill="1" applyBorder="1" applyAlignment="1">
      <alignment horizontal="center" vertical="center"/>
    </xf>
    <xf numFmtId="168" fontId="3" fillId="6" borderId="26" xfId="1" applyNumberFormat="1" applyFont="1" applyFill="1" applyBorder="1" applyAlignment="1">
      <alignment horizontal="center" vertical="center"/>
    </xf>
    <xf numFmtId="168" fontId="3" fillId="6" borderId="27" xfId="1" applyNumberFormat="1" applyFont="1" applyFill="1" applyBorder="1" applyAlignment="1">
      <alignment horizontal="center" vertical="center"/>
    </xf>
    <xf numFmtId="168" fontId="3" fillId="6" borderId="28" xfId="1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/>
    </xf>
    <xf numFmtId="0" fontId="3" fillId="6" borderId="0" xfId="0" applyFont="1" applyFill="1" applyAlignment="1">
      <alignment horizontal="left" vertical="center"/>
    </xf>
    <xf numFmtId="0" fontId="8" fillId="6" borderId="19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top" wrapText="1"/>
    </xf>
    <xf numFmtId="0" fontId="5" fillId="6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wrapText="1" readingOrder="1"/>
    </xf>
    <xf numFmtId="0" fontId="6" fillId="2" borderId="13" xfId="0" applyFont="1" applyFill="1" applyBorder="1" applyAlignment="1">
      <alignment horizontal="center" wrapText="1" readingOrder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2" fillId="6" borderId="1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15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6" borderId="16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right" vertical="center" wrapText="1"/>
    </xf>
    <xf numFmtId="0" fontId="0" fillId="6" borderId="3" xfId="0" applyFill="1" applyBorder="1" applyAlignment="1">
      <alignment horizontal="right" vertical="center" wrapText="1"/>
    </xf>
    <xf numFmtId="0" fontId="9" fillId="6" borderId="16" xfId="0" applyFont="1" applyFill="1" applyBorder="1" applyAlignment="1">
      <alignment horizontal="center"/>
    </xf>
    <xf numFmtId="0" fontId="3" fillId="6" borderId="0" xfId="0" applyFont="1" applyFill="1" applyAlignment="1">
      <alignment horizontal="left" vertical="center"/>
    </xf>
    <xf numFmtId="0" fontId="3" fillId="6" borderId="15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left"/>
    </xf>
    <xf numFmtId="0" fontId="3" fillId="6" borderId="17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/>
    </xf>
    <xf numFmtId="49" fontId="3" fillId="6" borderId="0" xfId="0" applyNumberFormat="1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horizontal="left" vertical="center"/>
    </xf>
    <xf numFmtId="0" fontId="13" fillId="6" borderId="16" xfId="0" applyFont="1" applyFill="1" applyBorder="1" applyAlignment="1">
      <alignment horizontal="center"/>
    </xf>
    <xf numFmtId="3" fontId="3" fillId="6" borderId="3" xfId="0" applyNumberFormat="1" applyFont="1" applyFill="1" applyBorder="1" applyAlignment="1">
      <alignment horizontal="center" vertical="center"/>
    </xf>
    <xf numFmtId="3" fontId="3" fillId="6" borderId="3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left" vertical="center"/>
    </xf>
    <xf numFmtId="0" fontId="8" fillId="6" borderId="19" xfId="0" applyFont="1" applyFill="1" applyBorder="1" applyAlignment="1">
      <alignment horizontal="center" vertical="center"/>
    </xf>
    <xf numFmtId="49" fontId="3" fillId="6" borderId="17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49" fontId="3" fillId="6" borderId="0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9" fillId="6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left" vertical="top" wrapText="1"/>
    </xf>
    <xf numFmtId="0" fontId="8" fillId="6" borderId="0" xfId="0" applyFont="1" applyFill="1" applyAlignment="1">
      <alignment horizontal="left"/>
    </xf>
    <xf numFmtId="0" fontId="3" fillId="6" borderId="0" xfId="0" applyFont="1" applyFill="1" applyAlignment="1">
      <alignment horizontal="left" vertical="top"/>
    </xf>
    <xf numFmtId="0" fontId="8" fillId="6" borderId="16" xfId="0" applyFont="1" applyFill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3" fillId="5" borderId="0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4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69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4D40"/>
      <color rgb="FF59886B"/>
      <color rgb="FF7A4D00"/>
      <color rgb="FFE0AAAA"/>
      <color rgb="FFC05555"/>
      <color rgb="FF072450"/>
      <color rgb="FF9D5F1B"/>
      <color rgb="FF90B09C"/>
      <color rgb="FF90B0AA"/>
      <color rgb="FFFFF8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1'!$A$11</c:f>
              <c:strCache>
                <c:ptCount val="1"/>
                <c:pt idx="0">
                  <c:v>APFF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1'!$B$11:$L$11</c:f>
              <c:numCache>
                <c:formatCode>0.0</c:formatCode>
                <c:ptCount val="11"/>
                <c:pt idx="0">
                  <c:v>823.23358173074394</c:v>
                </c:pt>
                <c:pt idx="1">
                  <c:v>921.05782608683103</c:v>
                </c:pt>
                <c:pt idx="2">
                  <c:v>986.51658334445199</c:v>
                </c:pt>
                <c:pt idx="3">
                  <c:v>1031.8212611101999</c:v>
                </c:pt>
                <c:pt idx="4">
                  <c:v>1053.15527448637</c:v>
                </c:pt>
                <c:pt idx="5">
                  <c:v>909.60281133454203</c:v>
                </c:pt>
                <c:pt idx="6">
                  <c:v>627.905776763061</c:v>
                </c:pt>
                <c:pt idx="7">
                  <c:v>614.482816545883</c:v>
                </c:pt>
                <c:pt idx="8">
                  <c:v>563.68416001811795</c:v>
                </c:pt>
                <c:pt idx="9">
                  <c:v>673.87929841582502</c:v>
                </c:pt>
                <c:pt idx="10">
                  <c:v>461.76057888888897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4-4074-8067-7F84E42B0213}"/>
            </c:ext>
          </c:extLst>
        </c:ser>
        <c:ser>
          <c:idx val="1"/>
          <c:order val="1"/>
          <c:tx>
            <c:strRef>
              <c:f>'Fig 1'!$A$12</c:f>
              <c:strCache>
                <c:ptCount val="1"/>
                <c:pt idx="0">
                  <c:v>APRN</c:v>
                </c:pt>
              </c:strCache>
            </c:strRef>
          </c:tx>
          <c:spPr>
            <a:ln w="28575" cap="rnd">
              <a:solidFill>
                <a:srgbClr val="0724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72450"/>
              </a:solidFill>
              <a:ln w="9525">
                <a:solidFill>
                  <a:srgbClr val="072450"/>
                </a:solidFill>
              </a:ln>
              <a:effectLst/>
            </c:spPr>
          </c:marker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1'!$B$12:$L$12</c:f>
              <c:numCache>
                <c:formatCode>0.0</c:formatCode>
                <c:ptCount val="11"/>
                <c:pt idx="0">
                  <c:v>760.38477518172203</c:v>
                </c:pt>
                <c:pt idx="1">
                  <c:v>712.49612112455702</c:v>
                </c:pt>
                <c:pt idx="2">
                  <c:v>761.30552421920504</c:v>
                </c:pt>
                <c:pt idx="3">
                  <c:v>1270.02831463079</c:v>
                </c:pt>
                <c:pt idx="4">
                  <c:v>1194.45732454321</c:v>
                </c:pt>
                <c:pt idx="5">
                  <c:v>1021.92400965422</c:v>
                </c:pt>
                <c:pt idx="6">
                  <c:v>860.288645461138</c:v>
                </c:pt>
                <c:pt idx="7">
                  <c:v>835.01436320789298</c:v>
                </c:pt>
                <c:pt idx="8">
                  <c:v>714.43404825629204</c:v>
                </c:pt>
                <c:pt idx="9">
                  <c:v>764.89730047556202</c:v>
                </c:pt>
                <c:pt idx="10">
                  <c:v>639.31365500000004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F4-4074-8067-7F84E42B0213}"/>
            </c:ext>
          </c:extLst>
        </c:ser>
        <c:ser>
          <c:idx val="2"/>
          <c:order val="2"/>
          <c:tx>
            <c:strRef>
              <c:f>'Fig 1'!$A$13</c:f>
              <c:strCache>
                <c:ptCount val="1"/>
                <c:pt idx="0">
                  <c:v>MN</c:v>
                </c:pt>
              </c:strCache>
            </c:strRef>
          </c:tx>
          <c:spPr>
            <a:ln w="28575" cap="rnd">
              <a:solidFill>
                <a:srgbClr val="59886B"/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solidFill>
                <a:srgbClr val="59886B"/>
              </a:solidFill>
              <a:ln w="9525">
                <a:solidFill>
                  <a:srgbClr val="59886B"/>
                </a:solidFill>
              </a:ln>
              <a:effectLst/>
            </c:spPr>
          </c:marker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1'!$B$13:$L$13</c:f>
              <c:numCache>
                <c:formatCode>0.0</c:formatCode>
                <c:ptCount val="11"/>
                <c:pt idx="0">
                  <c:v>413.06225897391403</c:v>
                </c:pt>
                <c:pt idx="1">
                  <c:v>346.26764517007001</c:v>
                </c:pt>
                <c:pt idx="2">
                  <c:v>366.64384210745101</c:v>
                </c:pt>
                <c:pt idx="3">
                  <c:v>246.951314466317</c:v>
                </c:pt>
                <c:pt idx="4">
                  <c:v>196.84216116187301</c:v>
                </c:pt>
                <c:pt idx="5">
                  <c:v>144.087981987582</c:v>
                </c:pt>
                <c:pt idx="6">
                  <c:v>58.154241082316801</c:v>
                </c:pt>
                <c:pt idx="7">
                  <c:v>25.8513840605365</c:v>
                </c:pt>
                <c:pt idx="8">
                  <c:v>15.734494744640401</c:v>
                </c:pt>
                <c:pt idx="9">
                  <c:v>24.670061064558102</c:v>
                </c:pt>
                <c:pt idx="10">
                  <c:v>25.750356666666701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F4-4074-8067-7F84E42B0213}"/>
            </c:ext>
          </c:extLst>
        </c:ser>
        <c:ser>
          <c:idx val="3"/>
          <c:order val="3"/>
          <c:tx>
            <c:strRef>
              <c:f>'Fig 1'!$A$14</c:f>
              <c:strCache>
                <c:ptCount val="1"/>
                <c:pt idx="0">
                  <c:v>PN</c:v>
                </c:pt>
              </c:strCache>
            </c:strRef>
          </c:tx>
          <c:spPr>
            <a:ln w="28575" cap="rnd">
              <a:solidFill>
                <a:srgbClr val="E0AAAA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E0AAAA"/>
              </a:solidFill>
              <a:ln w="9525">
                <a:solidFill>
                  <a:srgbClr val="E0AAAA"/>
                </a:solidFill>
              </a:ln>
              <a:effectLst/>
            </c:spPr>
          </c:marker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1'!$B$14:$L$14</c:f>
              <c:numCache>
                <c:formatCode>0.0</c:formatCode>
                <c:ptCount val="11"/>
                <c:pt idx="0">
                  <c:v>809.29381371776503</c:v>
                </c:pt>
                <c:pt idx="1">
                  <c:v>844.14565842669901</c:v>
                </c:pt>
                <c:pt idx="2">
                  <c:v>777.30232986596707</c:v>
                </c:pt>
                <c:pt idx="3">
                  <c:v>647.86139385727199</c:v>
                </c:pt>
                <c:pt idx="4">
                  <c:v>695.14200250693398</c:v>
                </c:pt>
                <c:pt idx="5">
                  <c:v>556.51431680305302</c:v>
                </c:pt>
                <c:pt idx="6">
                  <c:v>355.17458580423101</c:v>
                </c:pt>
                <c:pt idx="7">
                  <c:v>340.85999031140199</c:v>
                </c:pt>
                <c:pt idx="8">
                  <c:v>306.52917260748495</c:v>
                </c:pt>
                <c:pt idx="9">
                  <c:v>335.284446711344</c:v>
                </c:pt>
                <c:pt idx="10">
                  <c:v>263.349455846154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F4-4074-8067-7F84E42B0213}"/>
            </c:ext>
          </c:extLst>
        </c:ser>
        <c:ser>
          <c:idx val="4"/>
          <c:order val="4"/>
          <c:tx>
            <c:strRef>
              <c:f>'Fig 1'!$A$15</c:f>
              <c:strCache>
                <c:ptCount val="1"/>
                <c:pt idx="0">
                  <c:v>RB</c:v>
                </c:pt>
              </c:strCache>
            </c:strRef>
          </c:tx>
          <c:spPr>
            <a:ln w="28575" cap="rnd">
              <a:solidFill>
                <a:srgbClr val="C0555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5555"/>
              </a:solidFill>
              <a:ln w="9525">
                <a:solidFill>
                  <a:srgbClr val="C05555"/>
                </a:solidFill>
              </a:ln>
              <a:effectLst/>
            </c:spPr>
          </c:marker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1'!$B$15:$L$15</c:f>
              <c:numCache>
                <c:formatCode>0.0</c:formatCode>
                <c:ptCount val="11"/>
                <c:pt idx="0">
                  <c:v>1529.8372665079498</c:v>
                </c:pt>
                <c:pt idx="1">
                  <c:v>1439.85002794976</c:v>
                </c:pt>
                <c:pt idx="2">
                  <c:v>1430.3257136284699</c:v>
                </c:pt>
                <c:pt idx="3">
                  <c:v>1307.9749200108802</c:v>
                </c:pt>
                <c:pt idx="4">
                  <c:v>1361.7974719549302</c:v>
                </c:pt>
                <c:pt idx="5">
                  <c:v>1099.3712472627501</c:v>
                </c:pt>
                <c:pt idx="6">
                  <c:v>753.12130220047698</c:v>
                </c:pt>
                <c:pt idx="7">
                  <c:v>622.97983999020903</c:v>
                </c:pt>
                <c:pt idx="8">
                  <c:v>642.23988561111196</c:v>
                </c:pt>
                <c:pt idx="9">
                  <c:v>791.47627828674797</c:v>
                </c:pt>
                <c:pt idx="10">
                  <c:v>526.22049146341499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F4-4074-8067-7F84E42B0213}"/>
            </c:ext>
          </c:extLst>
        </c:ser>
        <c:ser>
          <c:idx val="5"/>
          <c:order val="5"/>
          <c:tx>
            <c:strRef>
              <c:f>'Fig 1'!$A$16</c:f>
              <c:strCache>
                <c:ptCount val="1"/>
                <c:pt idx="0">
                  <c:v>SANT</c:v>
                </c:pt>
              </c:strCache>
            </c:strRef>
          </c:tx>
          <c:spPr>
            <a:ln w="28575" cap="rnd">
              <a:solidFill>
                <a:srgbClr val="9D5F1B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9D5F1B"/>
              </a:solidFill>
              <a:ln w="9525">
                <a:solidFill>
                  <a:srgbClr val="9D5F1B"/>
                </a:solidFill>
              </a:ln>
              <a:effectLst/>
            </c:spPr>
          </c:marker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1'!$B$16:$L$16</c:f>
              <c:numCache>
                <c:formatCode>0.0</c:formatCode>
                <c:ptCount val="11"/>
                <c:pt idx="0">
                  <c:v>782.10924416733201</c:v>
                </c:pt>
                <c:pt idx="1">
                  <c:v>546.97363779863997</c:v>
                </c:pt>
                <c:pt idx="2">
                  <c:v>609.90503420333494</c:v>
                </c:pt>
                <c:pt idx="3">
                  <c:v>513.20664222855396</c:v>
                </c:pt>
                <c:pt idx="4">
                  <c:v>685.48610261097792</c:v>
                </c:pt>
                <c:pt idx="5">
                  <c:v>394.35893188537597</c:v>
                </c:pt>
                <c:pt idx="6">
                  <c:v>370.51642930167401</c:v>
                </c:pt>
                <c:pt idx="7">
                  <c:v>317.796929249654</c:v>
                </c:pt>
                <c:pt idx="8">
                  <c:v>265.19578727735495</c:v>
                </c:pt>
                <c:pt idx="9">
                  <c:v>338.73533734703403</c:v>
                </c:pt>
                <c:pt idx="10">
                  <c:v>216.70558222222201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F4-4074-8067-7F84E42B0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372511"/>
        <c:axId val="1831373343"/>
      </c:lineChart>
      <c:dateAx>
        <c:axId val="183137251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3343"/>
        <c:crosses val="autoZero"/>
        <c:auto val="1"/>
        <c:lblOffset val="100"/>
        <c:baseTimeUnit val="years"/>
        <c:majorUnit val="2"/>
        <c:majorTimeUnit val="years"/>
        <c:minorUnit val="2"/>
      </c:dateAx>
      <c:valAx>
        <c:axId val="1831373343"/>
        <c:scaling>
          <c:orientation val="minMax"/>
          <c:max val="160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2511"/>
        <c:crosses val="autoZero"/>
        <c:crossBetween val="midCat"/>
        <c:majorUnit val="4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840413804341069E-2"/>
          <c:y val="0.17203168146835493"/>
          <c:w val="0.77263028816676882"/>
          <c:h val="0.62219238936218846"/>
        </c:manualLayout>
      </c:layout>
      <c:lineChart>
        <c:grouping val="standard"/>
        <c:varyColors val="0"/>
        <c:ser>
          <c:idx val="1"/>
          <c:order val="0"/>
          <c:tx>
            <c:strRef>
              <c:f>'Fig 1'!$A$12</c:f>
              <c:strCache>
                <c:ptCount val="1"/>
                <c:pt idx="0">
                  <c:v>APRN</c:v>
                </c:pt>
              </c:strCache>
            </c:strRef>
          </c:tx>
          <c:spPr>
            <a:ln w="28575" cap="rnd">
              <a:solidFill>
                <a:srgbClr val="0724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72450"/>
              </a:solidFill>
              <a:ln w="9525">
                <a:solidFill>
                  <a:srgbClr val="072450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4.9033815865036435E-3"/>
                  <c:y val="-9.3566362453609778E-3"/>
                </c:manualLayout>
              </c:layout>
              <c:tx>
                <c:rich>
                  <a:bodyPr/>
                  <a:lstStyle/>
                  <a:p>
                    <a:fld id="{EEF2E51E-D4E1-4C35-BFC6-00C5195736F2}" type="VALUE">
                      <a:rPr lang="en-US" b="1">
                        <a:solidFill>
                          <a:srgbClr val="072450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E33A-4CF8-82C6-5A3424B1C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1'!$B$12:$L$12</c:f>
              <c:numCache>
                <c:formatCode>0.0</c:formatCode>
                <c:ptCount val="11"/>
                <c:pt idx="0">
                  <c:v>760.38477518172203</c:v>
                </c:pt>
                <c:pt idx="1">
                  <c:v>712.49612112455702</c:v>
                </c:pt>
                <c:pt idx="2">
                  <c:v>761.30552421920504</c:v>
                </c:pt>
                <c:pt idx="3">
                  <c:v>1270.02831463079</c:v>
                </c:pt>
                <c:pt idx="4">
                  <c:v>1194.45732454321</c:v>
                </c:pt>
                <c:pt idx="5">
                  <c:v>1021.92400965422</c:v>
                </c:pt>
                <c:pt idx="6">
                  <c:v>860.288645461138</c:v>
                </c:pt>
                <c:pt idx="7">
                  <c:v>835.01436320789298</c:v>
                </c:pt>
                <c:pt idx="8">
                  <c:v>714.43404825629204</c:v>
                </c:pt>
                <c:pt idx="9">
                  <c:v>764.89730047556202</c:v>
                </c:pt>
                <c:pt idx="10">
                  <c:v>639.31365500000004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A-4CF8-82C6-5A3424B1C008}"/>
            </c:ext>
          </c:extLst>
        </c:ser>
        <c:ser>
          <c:idx val="4"/>
          <c:order val="1"/>
          <c:tx>
            <c:strRef>
              <c:f>'Fig 1'!$A$15</c:f>
              <c:strCache>
                <c:ptCount val="1"/>
                <c:pt idx="0">
                  <c:v>RB</c:v>
                </c:pt>
              </c:strCache>
            </c:strRef>
          </c:tx>
          <c:spPr>
            <a:ln w="28575" cap="rnd">
              <a:solidFill>
                <a:srgbClr val="C0555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5555"/>
              </a:solidFill>
              <a:ln w="9525">
                <a:solidFill>
                  <a:srgbClr val="C05555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4.9064732520689037E-3"/>
                  <c:y val="-4.6772111777820787E-3"/>
                </c:manualLayout>
              </c:layout>
              <c:tx>
                <c:rich>
                  <a:bodyPr/>
                  <a:lstStyle/>
                  <a:p>
                    <a:fld id="{DCA61540-FF51-4105-B91C-50E376D561B6}" type="VALUE">
                      <a:rPr lang="en-US" b="1">
                        <a:solidFill>
                          <a:srgbClr val="C05555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33A-4CF8-82C6-5A3424B1C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1'!$B$15:$L$15</c:f>
              <c:numCache>
                <c:formatCode>0.0</c:formatCode>
                <c:ptCount val="11"/>
                <c:pt idx="0">
                  <c:v>1529.8372665079498</c:v>
                </c:pt>
                <c:pt idx="1">
                  <c:v>1439.85002794976</c:v>
                </c:pt>
                <c:pt idx="2">
                  <c:v>1430.3257136284699</c:v>
                </c:pt>
                <c:pt idx="3">
                  <c:v>1307.9749200108802</c:v>
                </c:pt>
                <c:pt idx="4">
                  <c:v>1361.7974719549302</c:v>
                </c:pt>
                <c:pt idx="5">
                  <c:v>1099.3712472627501</c:v>
                </c:pt>
                <c:pt idx="6">
                  <c:v>753.12130220047698</c:v>
                </c:pt>
                <c:pt idx="7">
                  <c:v>622.97983999020903</c:v>
                </c:pt>
                <c:pt idx="8">
                  <c:v>642.23988561111196</c:v>
                </c:pt>
                <c:pt idx="9">
                  <c:v>791.47627828674797</c:v>
                </c:pt>
                <c:pt idx="10">
                  <c:v>526.22049146341499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3A-4CF8-82C6-5A3424B1C008}"/>
            </c:ext>
          </c:extLst>
        </c:ser>
        <c:ser>
          <c:idx val="0"/>
          <c:order val="2"/>
          <c:tx>
            <c:strRef>
              <c:f>'Fig 1'!$A$11</c:f>
              <c:strCache>
                <c:ptCount val="1"/>
                <c:pt idx="0">
                  <c:v>APFF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4.9064732520689037E-3"/>
                  <c:y val="1.4053772431315828E-2"/>
                </c:manualLayout>
              </c:layout>
              <c:tx>
                <c:rich>
                  <a:bodyPr/>
                  <a:lstStyle/>
                  <a:p>
                    <a:fld id="{232163BA-6163-4DCC-9E96-D5C3483CFD69}" type="VALUE">
                      <a:rPr lang="en-US" b="1">
                        <a:solidFill>
                          <a:schemeClr val="accent4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33A-4CF8-82C6-5A3424B1C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1'!$B$11:$L$11</c:f>
              <c:numCache>
                <c:formatCode>0.0</c:formatCode>
                <c:ptCount val="11"/>
                <c:pt idx="0">
                  <c:v>823.23358173074394</c:v>
                </c:pt>
                <c:pt idx="1">
                  <c:v>921.05782608683103</c:v>
                </c:pt>
                <c:pt idx="2">
                  <c:v>986.51658334445199</c:v>
                </c:pt>
                <c:pt idx="3">
                  <c:v>1031.8212611101999</c:v>
                </c:pt>
                <c:pt idx="4">
                  <c:v>1053.15527448637</c:v>
                </c:pt>
                <c:pt idx="5">
                  <c:v>909.60281133454203</c:v>
                </c:pt>
                <c:pt idx="6">
                  <c:v>627.905776763061</c:v>
                </c:pt>
                <c:pt idx="7">
                  <c:v>614.482816545883</c:v>
                </c:pt>
                <c:pt idx="8">
                  <c:v>563.68416001811795</c:v>
                </c:pt>
                <c:pt idx="9">
                  <c:v>673.87929841582502</c:v>
                </c:pt>
                <c:pt idx="10">
                  <c:v>461.76057888888897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A-4CF8-82C6-5A3424B1C008}"/>
            </c:ext>
          </c:extLst>
        </c:ser>
        <c:ser>
          <c:idx val="3"/>
          <c:order val="3"/>
          <c:tx>
            <c:strRef>
              <c:f>'Fig 1'!$A$14</c:f>
              <c:strCache>
                <c:ptCount val="1"/>
                <c:pt idx="0">
                  <c:v>PN</c:v>
                </c:pt>
              </c:strCache>
            </c:strRef>
          </c:tx>
          <c:spPr>
            <a:ln w="28575" cap="rnd">
              <a:solidFill>
                <a:srgbClr val="E0AAAA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E0AAAA"/>
              </a:solidFill>
              <a:ln w="9525">
                <a:solidFill>
                  <a:srgbClr val="E0AAAA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4.9080648771452889E-3"/>
                  <c:y val="-1.4079761343893649E-2"/>
                </c:manualLayout>
              </c:layout>
              <c:tx>
                <c:rich>
                  <a:bodyPr/>
                  <a:lstStyle/>
                  <a:p>
                    <a:fld id="{125518B9-760E-45A0-8FB0-941CA2E42A16}" type="VALUE">
                      <a:rPr lang="en-US" b="1">
                        <a:solidFill>
                          <a:srgbClr val="E0AAAA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3A-4CF8-82C6-5A3424B1C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1'!$B$14:$L$14</c:f>
              <c:numCache>
                <c:formatCode>0.0</c:formatCode>
                <c:ptCount val="11"/>
                <c:pt idx="0">
                  <c:v>809.29381371776503</c:v>
                </c:pt>
                <c:pt idx="1">
                  <c:v>844.14565842669901</c:v>
                </c:pt>
                <c:pt idx="2">
                  <c:v>777.30232986596707</c:v>
                </c:pt>
                <c:pt idx="3">
                  <c:v>647.86139385727199</c:v>
                </c:pt>
                <c:pt idx="4">
                  <c:v>695.14200250693398</c:v>
                </c:pt>
                <c:pt idx="5">
                  <c:v>556.51431680305302</c:v>
                </c:pt>
                <c:pt idx="6">
                  <c:v>355.17458580423101</c:v>
                </c:pt>
                <c:pt idx="7">
                  <c:v>340.85999031140199</c:v>
                </c:pt>
                <c:pt idx="8">
                  <c:v>306.52917260748495</c:v>
                </c:pt>
                <c:pt idx="9">
                  <c:v>335.284446711344</c:v>
                </c:pt>
                <c:pt idx="10">
                  <c:v>263.349455846154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A-4CF8-82C6-5A3424B1C008}"/>
            </c:ext>
          </c:extLst>
        </c:ser>
        <c:ser>
          <c:idx val="5"/>
          <c:order val="4"/>
          <c:tx>
            <c:strRef>
              <c:f>'Fig 1'!$A$16</c:f>
              <c:strCache>
                <c:ptCount val="1"/>
                <c:pt idx="0">
                  <c:v>SANT</c:v>
                </c:pt>
              </c:strCache>
            </c:strRef>
          </c:tx>
          <c:spPr>
            <a:ln w="28575" cap="rnd">
              <a:solidFill>
                <a:srgbClr val="9D5F1B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9D5F1B"/>
              </a:solidFill>
              <a:ln w="9525">
                <a:solidFill>
                  <a:srgbClr val="9D5F1B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4.9080190848515342E-3"/>
                  <c:y val="9.3721334739398487E-3"/>
                </c:manualLayout>
              </c:layout>
              <c:tx>
                <c:rich>
                  <a:bodyPr/>
                  <a:lstStyle/>
                  <a:p>
                    <a:fld id="{A8C9F660-6CB7-462B-BB4C-EDF658B842F5}" type="VALUE">
                      <a:rPr lang="en-US" b="1">
                        <a:solidFill>
                          <a:srgbClr val="7A4D00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E33A-4CF8-82C6-5A3424B1C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1'!$B$16:$L$16</c:f>
              <c:numCache>
                <c:formatCode>0.0</c:formatCode>
                <c:ptCount val="11"/>
                <c:pt idx="0">
                  <c:v>782.10924416733201</c:v>
                </c:pt>
                <c:pt idx="1">
                  <c:v>546.97363779863997</c:v>
                </c:pt>
                <c:pt idx="2">
                  <c:v>609.90503420333494</c:v>
                </c:pt>
                <c:pt idx="3">
                  <c:v>513.20664222855396</c:v>
                </c:pt>
                <c:pt idx="4">
                  <c:v>685.48610261097792</c:v>
                </c:pt>
                <c:pt idx="5">
                  <c:v>394.35893188537597</c:v>
                </c:pt>
                <c:pt idx="6">
                  <c:v>370.51642930167401</c:v>
                </c:pt>
                <c:pt idx="7">
                  <c:v>317.796929249654</c:v>
                </c:pt>
                <c:pt idx="8">
                  <c:v>265.19578727735495</c:v>
                </c:pt>
                <c:pt idx="9">
                  <c:v>338.73533734703403</c:v>
                </c:pt>
                <c:pt idx="10">
                  <c:v>216.70558222222201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3A-4CF8-82C6-5A3424B1C008}"/>
            </c:ext>
          </c:extLst>
        </c:ser>
        <c:ser>
          <c:idx val="2"/>
          <c:order val="5"/>
          <c:tx>
            <c:strRef>
              <c:f>'Fig 1'!$A$13</c:f>
              <c:strCache>
                <c:ptCount val="1"/>
                <c:pt idx="0">
                  <c:v>MN</c:v>
                </c:pt>
              </c:strCache>
            </c:strRef>
          </c:tx>
          <c:spPr>
            <a:ln w="28575" cap="rnd">
              <a:solidFill>
                <a:srgbClr val="59886B"/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solidFill>
                <a:srgbClr val="59886B"/>
              </a:solidFill>
              <a:ln w="9525">
                <a:solidFill>
                  <a:srgbClr val="59886B"/>
                </a:solidFill>
              </a:ln>
              <a:effectLst/>
            </c:spPr>
          </c:marker>
          <c:dLbls>
            <c:dLbl>
              <c:idx val="10"/>
              <c:tx>
                <c:rich>
                  <a:bodyPr/>
                  <a:lstStyle/>
                  <a:p>
                    <a:fld id="{21B2CA9D-A788-4C37-9CF7-3BE68E25BA40}" type="VALUE">
                      <a:rPr lang="en-US" b="1">
                        <a:solidFill>
                          <a:srgbClr val="59886B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33A-4CF8-82C6-5A3424B1C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1'!$B$3:$L$3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1'!$B$13:$L$13</c:f>
              <c:numCache>
                <c:formatCode>0.0</c:formatCode>
                <c:ptCount val="11"/>
                <c:pt idx="0">
                  <c:v>413.06225897391403</c:v>
                </c:pt>
                <c:pt idx="1">
                  <c:v>346.26764517007001</c:v>
                </c:pt>
                <c:pt idx="2">
                  <c:v>366.64384210745101</c:v>
                </c:pt>
                <c:pt idx="3">
                  <c:v>246.951314466317</c:v>
                </c:pt>
                <c:pt idx="4">
                  <c:v>196.84216116187301</c:v>
                </c:pt>
                <c:pt idx="5">
                  <c:v>144.087981987582</c:v>
                </c:pt>
                <c:pt idx="6">
                  <c:v>58.154241082316801</c:v>
                </c:pt>
                <c:pt idx="7">
                  <c:v>25.8513840605365</c:v>
                </c:pt>
                <c:pt idx="8">
                  <c:v>15.734494744640401</c:v>
                </c:pt>
                <c:pt idx="9">
                  <c:v>24.670061064558102</c:v>
                </c:pt>
                <c:pt idx="10">
                  <c:v>25.750356666666701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A-4CF8-82C6-5A3424B1C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372511"/>
        <c:axId val="1831373343"/>
      </c:lineChart>
      <c:dateAx>
        <c:axId val="183137251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3343"/>
        <c:crosses val="autoZero"/>
        <c:auto val="1"/>
        <c:lblOffset val="100"/>
        <c:baseTimeUnit val="years"/>
        <c:majorUnit val="2"/>
        <c:majorTimeUnit val="years"/>
        <c:minorUnit val="2"/>
      </c:dateAx>
      <c:valAx>
        <c:axId val="1831373343"/>
        <c:scaling>
          <c:orientation val="minMax"/>
          <c:max val="160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2511"/>
        <c:crosses val="autoZero"/>
        <c:crossBetween val="midCat"/>
        <c:majorUnit val="4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0000135144370871E-2"/>
          <c:y val="4.5586210799658654E-2"/>
          <c:w val="0.89999992277464524"/>
          <c:h val="8.9410992522838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25689760882889E-2"/>
          <c:y val="5.4543509930111193E-2"/>
          <c:w val="0.80451256897608825"/>
          <c:h val="0.70153570967563483"/>
        </c:manualLayout>
      </c:layout>
      <c:lineChart>
        <c:grouping val="standard"/>
        <c:varyColors val="0"/>
        <c:ser>
          <c:idx val="3"/>
          <c:order val="0"/>
          <c:tx>
            <c:strRef>
              <c:f>'Fig 2'!$A$8</c:f>
              <c:strCache>
                <c:ptCount val="1"/>
                <c:pt idx="0">
                  <c:v>Presupuesto por kilómetro cuadrado</c:v>
                </c:pt>
              </c:strCache>
            </c:strRef>
          </c:tx>
          <c:spPr>
            <a:ln w="28575" cap="rnd">
              <a:solidFill>
                <a:srgbClr val="004D4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4D40"/>
              </a:solidFill>
              <a:ln w="9525">
                <a:noFill/>
              </a:ln>
              <a:effectLst/>
            </c:spPr>
          </c:marker>
          <c:dLbls>
            <c:dLbl>
              <c:idx val="10"/>
              <c:layout>
                <c:manualLayout>
                  <c:x val="-2.452483139178418E-3"/>
                  <c:y val="4.6838407494136612E-4"/>
                </c:manualLayout>
              </c:layout>
              <c:tx>
                <c:rich>
                  <a:bodyPr/>
                  <a:lstStyle/>
                  <a:p>
                    <a:fld id="{C6ABA9D2-E251-4B63-BD8D-1D750ADFBBD8}" type="VALUE">
                      <a:rPr lang="en-US" b="1">
                        <a:solidFill>
                          <a:srgbClr val="004D40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BE4E-4A53-9DBE-3AB19A5494A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2'!$B$2:$L$2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2'!$B$9:$L$9</c:f>
              <c:numCache>
                <c:formatCode>General</c:formatCode>
                <c:ptCount val="11"/>
                <c:pt idx="0">
                  <c:v>610.77825762251416</c:v>
                </c:pt>
                <c:pt idx="1">
                  <c:v>607.51924679514912</c:v>
                </c:pt>
                <c:pt idx="2">
                  <c:v>612.28166245345528</c:v>
                </c:pt>
                <c:pt idx="3">
                  <c:v>566.93926326501492</c:v>
                </c:pt>
                <c:pt idx="4">
                  <c:v>600.31850748612987</c:v>
                </c:pt>
                <c:pt idx="5">
                  <c:v>486.65279832699565</c:v>
                </c:pt>
                <c:pt idx="6">
                  <c:v>332.31532578599899</c:v>
                </c:pt>
                <c:pt idx="7">
                  <c:v>102.39567358368242</c:v>
                </c:pt>
                <c:pt idx="8">
                  <c:v>79.773911200035428</c:v>
                </c:pt>
                <c:pt idx="9">
                  <c:v>93.028640520867455</c:v>
                </c:pt>
                <c:pt idx="10">
                  <c:v>66.140089678673434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E-4A53-9DBE-3AB19A5494AC}"/>
            </c:ext>
          </c:extLst>
        </c:ser>
        <c:ser>
          <c:idx val="0"/>
          <c:order val="1"/>
          <c:tx>
            <c:strRef>
              <c:f>'Fig 2'!$A$10</c:f>
              <c:strCache>
                <c:ptCount val="1"/>
                <c:pt idx="0">
                  <c:v>Marina</c:v>
                </c:pt>
              </c:strCache>
            </c:strRef>
          </c:tx>
          <c:spPr>
            <a:ln w="28575" cap="rnd">
              <a:solidFill>
                <a:srgbClr val="0724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72450"/>
              </a:solidFill>
              <a:ln w="9525">
                <a:noFill/>
                <a:prstDash val="sysDash"/>
              </a:ln>
              <a:effectLst/>
            </c:spPr>
          </c:marker>
          <c:cat>
            <c:numRef>
              <c:f>'Fig 2'!$B$2:$L$2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2'!$B$10:$L$10</c:f>
              <c:numCache>
                <c:formatCode>0.0000</c:formatCode>
                <c:ptCount val="11"/>
                <c:pt idx="0">
                  <c:v>102.64243959747429</c:v>
                </c:pt>
                <c:pt idx="1">
                  <c:v>101.55102426633155</c:v>
                </c:pt>
                <c:pt idx="2">
                  <c:v>102.34709482810271</c:v>
                </c:pt>
                <c:pt idx="3">
                  <c:v>95.365617768965507</c:v>
                </c:pt>
                <c:pt idx="4">
                  <c:v>100.9803854382137</c:v>
                </c:pt>
                <c:pt idx="5">
                  <c:v>81.860523266943787</c:v>
                </c:pt>
                <c:pt idx="6">
                  <c:v>55.878943627877568</c:v>
                </c:pt>
                <c:pt idx="7">
                  <c:v>73.629766141115056</c:v>
                </c:pt>
                <c:pt idx="8">
                  <c:v>61.003263493173392</c:v>
                </c:pt>
                <c:pt idx="9">
                  <c:v>71.139180525771494</c:v>
                </c:pt>
                <c:pt idx="10">
                  <c:v>50.577453924917265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4E-4A53-9DBE-3AB19A5494AC}"/>
            </c:ext>
          </c:extLst>
        </c:ser>
        <c:ser>
          <c:idx val="1"/>
          <c:order val="2"/>
          <c:tx>
            <c:strRef>
              <c:f>'Fig 2'!$A$11</c:f>
              <c:strCache>
                <c:ptCount val="1"/>
                <c:pt idx="0">
                  <c:v>Terrestre</c:v>
                </c:pt>
              </c:strCache>
            </c:strRef>
          </c:tx>
          <c:spPr>
            <a:ln w="28575" cap="rnd">
              <a:solidFill>
                <a:srgbClr val="E0AAAA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E0AAAA"/>
              </a:solidFill>
              <a:ln w="9525">
                <a:noFill/>
                <a:prstDash val="sysDash"/>
              </a:ln>
              <a:effectLst/>
            </c:spPr>
          </c:marker>
          <c:cat>
            <c:numRef>
              <c:f>'Fig 2'!$B$2:$L$2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2'!$B$11:$L$11</c:f>
              <c:numCache>
                <c:formatCode>0.0000</c:formatCode>
                <c:ptCount val="11"/>
                <c:pt idx="0">
                  <c:v>508.13589131675968</c:v>
                </c:pt>
                <c:pt idx="1">
                  <c:v>505.96829504121354</c:v>
                </c:pt>
                <c:pt idx="2">
                  <c:v>509.93464070618182</c:v>
                </c:pt>
                <c:pt idx="3">
                  <c:v>471.57369053632283</c:v>
                </c:pt>
                <c:pt idx="4">
                  <c:v>499.33816973999092</c:v>
                </c:pt>
                <c:pt idx="5">
                  <c:v>404.79231372199774</c:v>
                </c:pt>
                <c:pt idx="6">
                  <c:v>276.43627659374869</c:v>
                </c:pt>
                <c:pt idx="7">
                  <c:v>28.765907442567364</c:v>
                </c:pt>
                <c:pt idx="8">
                  <c:v>18.770647706862036</c:v>
                </c:pt>
                <c:pt idx="9">
                  <c:v>21.889459995095965</c:v>
                </c:pt>
                <c:pt idx="10">
                  <c:v>15.562635753756167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4E-4A53-9DBE-3AB19A549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372511"/>
        <c:axId val="1831373343"/>
      </c:lineChart>
      <c:dateAx>
        <c:axId val="183137251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3343"/>
        <c:crosses val="autoZero"/>
        <c:auto val="1"/>
        <c:lblOffset val="100"/>
        <c:baseTimeUnit val="years"/>
        <c:majorUnit val="2"/>
        <c:majorTimeUnit val="years"/>
        <c:minorUnit val="2"/>
      </c:dateAx>
      <c:valAx>
        <c:axId val="1831373343"/>
        <c:scaling>
          <c:orientation val="minMax"/>
          <c:max val="65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2511"/>
        <c:crosses val="autoZero"/>
        <c:crossBetween val="midCat"/>
        <c:majorUnit val="1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25689760882889E-2"/>
          <c:y val="0.15728184114031388"/>
          <c:w val="0.80451256897608825"/>
          <c:h val="0.66417640976462122"/>
        </c:manualLayout>
      </c:layout>
      <c:lineChart>
        <c:grouping val="standard"/>
        <c:varyColors val="0"/>
        <c:ser>
          <c:idx val="3"/>
          <c:order val="0"/>
          <c:tx>
            <c:strRef>
              <c:f>'Fig 2'!$A$8</c:f>
              <c:strCache>
                <c:ptCount val="1"/>
                <c:pt idx="0">
                  <c:v>Presupuesto por kilómetro cuadrado</c:v>
                </c:pt>
              </c:strCache>
            </c:strRef>
          </c:tx>
          <c:spPr>
            <a:ln w="28575" cap="rnd">
              <a:solidFill>
                <a:srgbClr val="004D4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4D40"/>
              </a:solidFill>
              <a:ln w="9525">
                <a:noFill/>
              </a:ln>
              <a:effectLst/>
            </c:spPr>
          </c:marker>
          <c:dLbls>
            <c:dLbl>
              <c:idx val="10"/>
              <c:layout>
                <c:manualLayout>
                  <c:x val="-2.452483139178418E-3"/>
                  <c:y val="4.6838407494136612E-4"/>
                </c:manualLayout>
              </c:layout>
              <c:tx>
                <c:rich>
                  <a:bodyPr/>
                  <a:lstStyle/>
                  <a:p>
                    <a:fld id="{C6ABA9D2-E251-4B63-BD8D-1D750ADFBBD8}" type="VALUE">
                      <a:rPr lang="en-US" b="1">
                        <a:solidFill>
                          <a:srgbClr val="004D40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EF3-4371-A231-21B2042E059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 2'!$B$2:$L$2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2'!$B$9:$L$9</c:f>
              <c:numCache>
                <c:formatCode>General</c:formatCode>
                <c:ptCount val="11"/>
                <c:pt idx="0">
                  <c:v>610.77825762251416</c:v>
                </c:pt>
                <c:pt idx="1">
                  <c:v>607.51924679514912</c:v>
                </c:pt>
                <c:pt idx="2">
                  <c:v>612.28166245345528</c:v>
                </c:pt>
                <c:pt idx="3">
                  <c:v>566.93926326501492</c:v>
                </c:pt>
                <c:pt idx="4">
                  <c:v>600.31850748612987</c:v>
                </c:pt>
                <c:pt idx="5">
                  <c:v>486.65279832699565</c:v>
                </c:pt>
                <c:pt idx="6">
                  <c:v>332.31532578599899</c:v>
                </c:pt>
                <c:pt idx="7">
                  <c:v>102.39567358368242</c:v>
                </c:pt>
                <c:pt idx="8">
                  <c:v>79.773911200035428</c:v>
                </c:pt>
                <c:pt idx="9">
                  <c:v>93.028640520867455</c:v>
                </c:pt>
                <c:pt idx="10">
                  <c:v>66.140089678673434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E-4A53-9DBE-3AB19A5494AC}"/>
            </c:ext>
          </c:extLst>
        </c:ser>
        <c:ser>
          <c:idx val="0"/>
          <c:order val="1"/>
          <c:tx>
            <c:strRef>
              <c:f>'Fig 2'!$A$10</c:f>
              <c:strCache>
                <c:ptCount val="1"/>
                <c:pt idx="0">
                  <c:v>Marina</c:v>
                </c:pt>
              </c:strCache>
            </c:strRef>
          </c:tx>
          <c:spPr>
            <a:ln w="28575" cap="rnd">
              <a:solidFill>
                <a:srgbClr val="0724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72450"/>
              </a:solidFill>
              <a:ln w="9525">
                <a:noFill/>
                <a:prstDash val="sysDash"/>
              </a:ln>
              <a:effectLst/>
            </c:spPr>
          </c:marker>
          <c:cat>
            <c:numRef>
              <c:f>'Fig 2'!$B$2:$L$2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2'!$B$10:$L$10</c:f>
              <c:numCache>
                <c:formatCode>0.0000</c:formatCode>
                <c:ptCount val="11"/>
                <c:pt idx="0">
                  <c:v>102.64243959747429</c:v>
                </c:pt>
                <c:pt idx="1">
                  <c:v>101.55102426633155</c:v>
                </c:pt>
                <c:pt idx="2">
                  <c:v>102.34709482810271</c:v>
                </c:pt>
                <c:pt idx="3">
                  <c:v>95.365617768965507</c:v>
                </c:pt>
                <c:pt idx="4">
                  <c:v>100.9803854382137</c:v>
                </c:pt>
                <c:pt idx="5">
                  <c:v>81.860523266943787</c:v>
                </c:pt>
                <c:pt idx="6">
                  <c:v>55.878943627877568</c:v>
                </c:pt>
                <c:pt idx="7">
                  <c:v>73.629766141115056</c:v>
                </c:pt>
                <c:pt idx="8">
                  <c:v>61.003263493173392</c:v>
                </c:pt>
                <c:pt idx="9">
                  <c:v>71.139180525771494</c:v>
                </c:pt>
                <c:pt idx="10">
                  <c:v>50.577453924917265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4E-4A53-9DBE-3AB19A5494AC}"/>
            </c:ext>
          </c:extLst>
        </c:ser>
        <c:ser>
          <c:idx val="1"/>
          <c:order val="2"/>
          <c:tx>
            <c:strRef>
              <c:f>'Fig 2'!$A$11</c:f>
              <c:strCache>
                <c:ptCount val="1"/>
                <c:pt idx="0">
                  <c:v>Terrestre</c:v>
                </c:pt>
              </c:strCache>
            </c:strRef>
          </c:tx>
          <c:spPr>
            <a:ln w="28575" cap="rnd">
              <a:solidFill>
                <a:srgbClr val="E0AAAA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E0AAAA"/>
              </a:solidFill>
              <a:ln w="9525">
                <a:noFill/>
                <a:prstDash val="sysDash"/>
              </a:ln>
              <a:effectLst/>
            </c:spPr>
          </c:marker>
          <c:cat>
            <c:numRef>
              <c:f>'Fig 2'!$B$2:$L$2</c:f>
              <c:numCache>
                <c:formatCode>m/d/yyyy</c:formatCode>
                <c:ptCount val="11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</c:numCache>
            </c:numRef>
          </c:cat>
          <c:val>
            <c:numRef>
              <c:f>'Fig 2'!$B$11:$L$11</c:f>
              <c:numCache>
                <c:formatCode>0.0000</c:formatCode>
                <c:ptCount val="11"/>
                <c:pt idx="0">
                  <c:v>508.13589131675968</c:v>
                </c:pt>
                <c:pt idx="1">
                  <c:v>505.96829504121354</c:v>
                </c:pt>
                <c:pt idx="2">
                  <c:v>509.93464070618182</c:v>
                </c:pt>
                <c:pt idx="3">
                  <c:v>471.57369053632283</c:v>
                </c:pt>
                <c:pt idx="4">
                  <c:v>499.33816973999092</c:v>
                </c:pt>
                <c:pt idx="5">
                  <c:v>404.79231372199774</c:v>
                </c:pt>
                <c:pt idx="6">
                  <c:v>276.43627659374869</c:v>
                </c:pt>
                <c:pt idx="7">
                  <c:v>28.765907442567364</c:v>
                </c:pt>
                <c:pt idx="8">
                  <c:v>18.770647706862036</c:v>
                </c:pt>
                <c:pt idx="9">
                  <c:v>21.889459995095965</c:v>
                </c:pt>
                <c:pt idx="10">
                  <c:v>15.562635753756167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4E-4A53-9DBE-3AB19A549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372511"/>
        <c:axId val="1831373343"/>
      </c:lineChart>
      <c:dateAx>
        <c:axId val="183137251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3343"/>
        <c:crosses val="autoZero"/>
        <c:auto val="1"/>
        <c:lblOffset val="100"/>
        <c:baseTimeUnit val="years"/>
        <c:majorUnit val="2"/>
        <c:majorTimeUnit val="years"/>
        <c:minorUnit val="2"/>
      </c:dateAx>
      <c:valAx>
        <c:axId val="1831373343"/>
        <c:scaling>
          <c:orientation val="minMax"/>
          <c:max val="65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831372511"/>
        <c:crosses val="autoZero"/>
        <c:crossBetween val="midCat"/>
        <c:majorUnit val="1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44449</xdr:colOff>
      <xdr:row>3</xdr:row>
      <xdr:rowOff>63500</xdr:rowOff>
    </xdr:from>
    <xdr:to>
      <xdr:col>16</xdr:col>
      <xdr:colOff>201082</xdr:colOff>
      <xdr:row>12</xdr:row>
      <xdr:rowOff>82550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813AAF-36F7-A67A-46A3-42CFBF603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2299" y="628650"/>
          <a:ext cx="4423833" cy="168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593724</xdr:colOff>
      <xdr:row>2</xdr:row>
      <xdr:rowOff>152400</xdr:rowOff>
    </xdr:from>
    <xdr:to>
      <xdr:col>9</xdr:col>
      <xdr:colOff>438149</xdr:colOff>
      <xdr:row>17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4B580D-A795-4D65-9F48-8DB93058C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432488</xdr:colOff>
      <xdr:row>2</xdr:row>
      <xdr:rowOff>147560</xdr:rowOff>
    </xdr:from>
    <xdr:to>
      <xdr:col>20</xdr:col>
      <xdr:colOff>278134</xdr:colOff>
      <xdr:row>17</xdr:row>
      <xdr:rowOff>97737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992BE2-4E87-4194-BCCA-459D7006B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0.89005</cdr:y>
    </cdr:from>
    <cdr:to>
      <cdr:x>0.97739</cdr:x>
      <cdr:y>0.98727</cdr:y>
    </cdr:to>
    <cdr:sp macro="" textlink="">
      <cdr:nvSpPr>
        <cdr:cNvPr id="2" name="CuadroTexto 4">
          <a:extLst xmlns:a="http://schemas.openxmlformats.org/drawingml/2006/main">
            <a:ext uri="{FF2B5EF4-FFF2-40B4-BE49-F238E27FC236}">
              <a16:creationId xmlns:a16="http://schemas.microsoft.com/office/drawing/2014/main" id="{9267584D-D9D5-EE25-6936-E6FD740C08F4}"/>
            </a:ext>
          </a:extLst>
        </cdr:cNvPr>
        <cdr:cNvSpPr txBox="1"/>
      </cdr:nvSpPr>
      <cdr:spPr>
        <a:xfrm xmlns:a="http://schemas.openxmlformats.org/drawingml/2006/main">
          <a:off x="0" y="2421890"/>
          <a:ext cx="506254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Fuente: </a:t>
          </a:r>
          <a:r>
            <a:rPr lang="es-MX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Elaboración propia con base en solicitud de transparencia 330008322000126.</a:t>
          </a:r>
          <a:endParaRPr lang="es-MX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9</xdr:col>
      <xdr:colOff>606425</xdr:colOff>
      <xdr:row>26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FAE7F6-3862-4B1F-AC2F-89CA34C76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22</xdr:col>
      <xdr:colOff>606425</xdr:colOff>
      <xdr:row>28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E9E2BA-52A2-430F-B213-9921A2073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0.90272</cdr:y>
    </cdr:from>
    <cdr:to>
      <cdr:x>0.97762</cdr:x>
      <cdr:y>1</cdr:y>
    </cdr:to>
    <cdr:sp macro="" textlink="">
      <cdr:nvSpPr>
        <cdr:cNvPr id="2" name="CuadroTexto 4">
          <a:extLst xmlns:a="http://schemas.openxmlformats.org/drawingml/2006/main">
            <a:ext uri="{FF2B5EF4-FFF2-40B4-BE49-F238E27FC236}">
              <a16:creationId xmlns:a16="http://schemas.microsoft.com/office/drawing/2014/main" id="{93E1ED33-962F-A2B0-0618-B29B1058CB27}"/>
            </a:ext>
          </a:extLst>
        </cdr:cNvPr>
        <cdr:cNvSpPr txBox="1"/>
      </cdr:nvSpPr>
      <cdr:spPr>
        <a:xfrm xmlns:a="http://schemas.openxmlformats.org/drawingml/2006/main">
          <a:off x="0" y="2454972"/>
          <a:ext cx="506254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Fuente: </a:t>
          </a:r>
          <a:r>
            <a:rPr lang="es-MX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Elaboración propia con base en solicitud de transparencia 330008322000126.</a:t>
          </a:r>
          <a:endParaRPr lang="es-MX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"/>
  <sheetViews>
    <sheetView workbookViewId="0">
      <selection activeCell="F19" sqref="F19"/>
    </sheetView>
  </sheetViews>
  <sheetFormatPr baseColWidth="10" defaultColWidth="10.9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3"/>
  <sheetViews>
    <sheetView topLeftCell="A12" zoomScale="77" zoomScaleNormal="77" workbookViewId="0">
      <selection activeCell="B13" sqref="B13:G29"/>
    </sheetView>
  </sheetViews>
  <sheetFormatPr baseColWidth="10" defaultColWidth="10.90625" defaultRowHeight="14.5" x14ac:dyDescent="0.35"/>
  <cols>
    <col min="1" max="1" width="4.453125" customWidth="1"/>
    <col min="2" max="2" width="14.54296875" customWidth="1"/>
    <col min="3" max="3" width="14.7265625" customWidth="1"/>
    <col min="4" max="5" width="14.54296875" customWidth="1"/>
    <col min="6" max="7" width="14.7265625" customWidth="1"/>
    <col min="8" max="9" width="14.54296875" customWidth="1"/>
    <col min="14" max="14" width="30.08984375" customWidth="1"/>
    <col min="15" max="15" width="31" customWidth="1"/>
  </cols>
  <sheetData>
    <row r="1" spans="1:15" x14ac:dyDescent="0.35">
      <c r="A1" s="2" t="s">
        <v>9</v>
      </c>
      <c r="B1" s="2"/>
      <c r="C1" s="2"/>
    </row>
    <row r="2" spans="1:15" x14ac:dyDescent="0.35">
      <c r="A2" s="2"/>
      <c r="B2" s="2"/>
      <c r="C2" s="2"/>
    </row>
    <row r="3" spans="1:15" ht="15" customHeight="1" x14ac:dyDescent="0.35">
      <c r="B3" s="1"/>
      <c r="C3" s="121"/>
      <c r="D3" s="172" t="s">
        <v>392</v>
      </c>
      <c r="E3" s="172"/>
      <c r="F3" s="172"/>
      <c r="G3" s="172"/>
      <c r="H3" s="121"/>
    </row>
    <row r="4" spans="1:15" ht="15" customHeight="1" x14ac:dyDescent="0.35">
      <c r="C4" s="118"/>
      <c r="D4" s="175" t="s">
        <v>1</v>
      </c>
      <c r="E4" s="175"/>
      <c r="F4" s="175" t="s">
        <v>2</v>
      </c>
      <c r="G4" s="175"/>
      <c r="H4" s="119"/>
    </row>
    <row r="5" spans="1:15" ht="15" customHeight="1" thickBot="1" x14ac:dyDescent="0.4">
      <c r="C5" s="118"/>
      <c r="D5" s="177" t="s">
        <v>93</v>
      </c>
      <c r="E5" s="177"/>
      <c r="F5" s="177" t="s">
        <v>19</v>
      </c>
      <c r="G5" s="177"/>
      <c r="H5" s="119"/>
    </row>
    <row r="6" spans="1:15" ht="15.5" customHeight="1" thickBot="1" x14ac:dyDescent="0.4">
      <c r="C6" s="118"/>
      <c r="D6" s="177"/>
      <c r="E6" s="177"/>
      <c r="F6" s="177"/>
      <c r="G6" s="177"/>
      <c r="H6" s="119"/>
      <c r="M6" s="164"/>
      <c r="N6" s="165" t="s">
        <v>47</v>
      </c>
      <c r="O6" s="166"/>
    </row>
    <row r="7" spans="1:15" ht="15" customHeight="1" thickBot="1" x14ac:dyDescent="0.4">
      <c r="C7" s="118"/>
      <c r="D7" s="177"/>
      <c r="E7" s="177"/>
      <c r="F7" s="177"/>
      <c r="G7" s="177"/>
      <c r="H7" s="119"/>
      <c r="M7" s="164"/>
      <c r="N7" s="6" t="s">
        <v>2</v>
      </c>
      <c r="O7" s="6" t="s">
        <v>1</v>
      </c>
    </row>
    <row r="8" spans="1:15" ht="15.5" customHeight="1" thickBot="1" x14ac:dyDescent="0.4">
      <c r="C8" s="118"/>
      <c r="D8" s="177"/>
      <c r="E8" s="177"/>
      <c r="F8" s="177"/>
      <c r="G8" s="177"/>
      <c r="H8" s="119"/>
      <c r="N8" s="167" t="s">
        <v>48</v>
      </c>
      <c r="O8" s="168"/>
    </row>
    <row r="9" spans="1:15" ht="14.5" customHeight="1" thickBot="1" x14ac:dyDescent="0.4">
      <c r="B9" s="3"/>
      <c r="C9" s="118"/>
      <c r="D9" s="177"/>
      <c r="E9" s="177"/>
      <c r="F9" s="177"/>
      <c r="G9" s="177"/>
      <c r="H9" s="119"/>
      <c r="N9" s="7" t="s">
        <v>3</v>
      </c>
      <c r="O9" s="7" t="s">
        <v>4</v>
      </c>
    </row>
    <row r="10" spans="1:15" ht="16" thickBot="1" x14ac:dyDescent="0.4">
      <c r="B10" s="4" t="s">
        <v>0</v>
      </c>
      <c r="C10" s="120"/>
      <c r="D10" s="171" t="s">
        <v>94</v>
      </c>
      <c r="E10" s="171"/>
      <c r="F10" s="171"/>
      <c r="G10" s="171"/>
      <c r="H10" s="120"/>
      <c r="N10" s="7" t="s">
        <v>6</v>
      </c>
      <c r="O10" s="7" t="s">
        <v>7</v>
      </c>
    </row>
    <row r="11" spans="1:15" ht="14.5" customHeight="1" thickBot="1" x14ac:dyDescent="0.4">
      <c r="B11" s="4"/>
      <c r="C11" s="4"/>
      <c r="N11" s="7" t="s">
        <v>11</v>
      </c>
      <c r="O11" s="7" t="s">
        <v>8</v>
      </c>
    </row>
    <row r="12" spans="1:15" ht="31" x14ac:dyDescent="0.35">
      <c r="B12" s="154"/>
      <c r="C12" s="154"/>
      <c r="D12" s="100"/>
      <c r="E12" s="100"/>
      <c r="F12" s="100"/>
      <c r="G12" s="100"/>
      <c r="N12" s="8" t="s">
        <v>5</v>
      </c>
      <c r="O12" s="8" t="s">
        <v>49</v>
      </c>
    </row>
    <row r="13" spans="1:15" ht="15.5" x14ac:dyDescent="0.35">
      <c r="B13" s="174" t="s">
        <v>382</v>
      </c>
      <c r="C13" s="174"/>
      <c r="D13" s="174"/>
      <c r="E13" s="174"/>
      <c r="F13" s="174"/>
      <c r="G13" s="174"/>
      <c r="H13" s="22"/>
      <c r="I13" s="22"/>
      <c r="N13" s="21"/>
      <c r="O13" s="21"/>
    </row>
    <row r="14" spans="1:15" ht="24.5" customHeight="1" x14ac:dyDescent="0.35">
      <c r="B14" s="176" t="s">
        <v>3</v>
      </c>
      <c r="C14" s="176"/>
      <c r="D14" s="169" t="s">
        <v>6</v>
      </c>
      <c r="E14" s="170"/>
      <c r="F14" s="169" t="s">
        <v>11</v>
      </c>
      <c r="G14" s="170"/>
      <c r="H14" s="23"/>
      <c r="I14" s="23"/>
      <c r="N14" s="9"/>
      <c r="O14" s="9"/>
    </row>
    <row r="15" spans="1:15" ht="15" customHeight="1" x14ac:dyDescent="0.35">
      <c r="B15" s="155" t="s">
        <v>15</v>
      </c>
      <c r="C15" s="155"/>
      <c r="D15" s="158" t="s">
        <v>16</v>
      </c>
      <c r="E15" s="159"/>
      <c r="F15" s="158" t="s">
        <v>17</v>
      </c>
      <c r="G15" s="159"/>
      <c r="H15" s="23"/>
      <c r="I15" s="23"/>
      <c r="N15" s="9"/>
      <c r="O15" s="9"/>
    </row>
    <row r="16" spans="1:15" ht="15" customHeight="1" x14ac:dyDescent="0.35">
      <c r="B16" s="155"/>
      <c r="C16" s="155"/>
      <c r="D16" s="160"/>
      <c r="E16" s="161"/>
      <c r="F16" s="160"/>
      <c r="G16" s="161"/>
      <c r="H16" s="23"/>
      <c r="I16" s="23"/>
      <c r="N16" s="9"/>
      <c r="O16" s="9"/>
    </row>
    <row r="17" spans="2:15" ht="15" customHeight="1" x14ac:dyDescent="0.35">
      <c r="B17" s="155"/>
      <c r="C17" s="155"/>
      <c r="D17" s="160"/>
      <c r="E17" s="161"/>
      <c r="F17" s="160"/>
      <c r="G17" s="161"/>
      <c r="H17" s="23"/>
      <c r="I17" s="23"/>
      <c r="N17" s="9"/>
      <c r="O17" s="9"/>
    </row>
    <row r="18" spans="2:15" ht="15" customHeight="1" x14ac:dyDescent="0.35">
      <c r="B18" s="155"/>
      <c r="C18" s="155"/>
      <c r="D18" s="162"/>
      <c r="E18" s="163"/>
      <c r="F18" s="162"/>
      <c r="G18" s="163"/>
      <c r="H18" s="23"/>
      <c r="I18" s="23"/>
    </row>
    <row r="19" spans="2:15" ht="26.5" customHeight="1" x14ac:dyDescent="0.35">
      <c r="B19" s="178" t="s">
        <v>4</v>
      </c>
      <c r="C19" s="178"/>
      <c r="D19" s="156" t="s">
        <v>7</v>
      </c>
      <c r="E19" s="157"/>
      <c r="F19" s="156" t="s">
        <v>8</v>
      </c>
      <c r="G19" s="157"/>
      <c r="H19" s="23"/>
      <c r="I19" s="23"/>
    </row>
    <row r="20" spans="2:15" ht="15" customHeight="1" x14ac:dyDescent="0.35">
      <c r="B20" s="155" t="s">
        <v>14</v>
      </c>
      <c r="C20" s="155"/>
      <c r="D20" s="158" t="s">
        <v>10</v>
      </c>
      <c r="E20" s="159"/>
      <c r="F20" s="158" t="s">
        <v>13</v>
      </c>
      <c r="G20" s="159"/>
      <c r="H20" s="23"/>
      <c r="I20" s="23"/>
    </row>
    <row r="21" spans="2:15" ht="15" customHeight="1" x14ac:dyDescent="0.35">
      <c r="B21" s="155"/>
      <c r="C21" s="155"/>
      <c r="D21" s="160"/>
      <c r="E21" s="161"/>
      <c r="F21" s="160"/>
      <c r="G21" s="161"/>
      <c r="H21" s="23"/>
      <c r="I21" s="23"/>
    </row>
    <row r="22" spans="2:15" ht="15" customHeight="1" x14ac:dyDescent="0.35">
      <c r="B22" s="155"/>
      <c r="C22" s="155"/>
      <c r="D22" s="160"/>
      <c r="E22" s="161"/>
      <c r="F22" s="160"/>
      <c r="G22" s="161"/>
      <c r="H22" s="23"/>
      <c r="I22" s="23"/>
    </row>
    <row r="23" spans="2:15" ht="15" customHeight="1" x14ac:dyDescent="0.35">
      <c r="B23" s="155"/>
      <c r="C23" s="155"/>
      <c r="D23" s="162"/>
      <c r="E23" s="163"/>
      <c r="F23" s="162"/>
      <c r="G23" s="163"/>
      <c r="H23" s="23"/>
      <c r="I23" s="23"/>
    </row>
    <row r="24" spans="2:15" ht="29" customHeight="1" x14ac:dyDescent="0.35">
      <c r="B24" s="176" t="s">
        <v>5</v>
      </c>
      <c r="C24" s="176"/>
      <c r="D24" s="158"/>
      <c r="E24" s="159"/>
      <c r="F24" s="176" t="s">
        <v>49</v>
      </c>
      <c r="G24" s="176"/>
      <c r="H24" s="23"/>
      <c r="I24" s="23"/>
    </row>
    <row r="25" spans="2:15" ht="15" customHeight="1" x14ac:dyDescent="0.35">
      <c r="B25" s="155" t="s">
        <v>18</v>
      </c>
      <c r="C25" s="155"/>
      <c r="D25" s="160"/>
      <c r="E25" s="161"/>
      <c r="F25" s="155" t="s">
        <v>12</v>
      </c>
      <c r="G25" s="155"/>
      <c r="H25" s="23"/>
      <c r="I25" s="23"/>
    </row>
    <row r="26" spans="2:15" ht="15" customHeight="1" x14ac:dyDescent="0.35">
      <c r="B26" s="155"/>
      <c r="C26" s="155"/>
      <c r="D26" s="160"/>
      <c r="E26" s="161"/>
      <c r="F26" s="155"/>
      <c r="G26" s="155"/>
      <c r="H26" s="23"/>
      <c r="I26" s="23"/>
    </row>
    <row r="27" spans="2:15" ht="15" customHeight="1" x14ac:dyDescent="0.35">
      <c r="B27" s="155"/>
      <c r="C27" s="155"/>
      <c r="D27" s="160"/>
      <c r="E27" s="161"/>
      <c r="F27" s="155"/>
      <c r="G27" s="155"/>
      <c r="H27" s="23"/>
      <c r="I27" s="23"/>
    </row>
    <row r="28" spans="2:15" ht="15" customHeight="1" x14ac:dyDescent="0.35">
      <c r="B28" s="155"/>
      <c r="C28" s="155"/>
      <c r="D28" s="162"/>
      <c r="E28" s="163"/>
      <c r="F28" s="155"/>
      <c r="G28" s="155"/>
      <c r="H28" s="23"/>
      <c r="I28" s="23"/>
    </row>
    <row r="29" spans="2:15" ht="15" customHeight="1" x14ac:dyDescent="0.35">
      <c r="B29" s="173" t="s">
        <v>95</v>
      </c>
      <c r="C29" s="173"/>
      <c r="D29" s="173"/>
      <c r="E29" s="173"/>
      <c r="F29" s="173"/>
      <c r="G29" s="173"/>
      <c r="H29" s="24"/>
      <c r="I29" s="24"/>
    </row>
    <row r="30" spans="2:15" x14ac:dyDescent="0.35">
      <c r="B30" s="2"/>
      <c r="C30" s="2"/>
    </row>
    <row r="32" spans="2:15" x14ac:dyDescent="0.35">
      <c r="B32" t="s">
        <v>45</v>
      </c>
    </row>
    <row r="33" spans="2:2" x14ac:dyDescent="0.35">
      <c r="B33" s="5" t="s">
        <v>46</v>
      </c>
    </row>
  </sheetData>
  <mergeCells count="28">
    <mergeCell ref="D3:G3"/>
    <mergeCell ref="B29:G29"/>
    <mergeCell ref="B13:G13"/>
    <mergeCell ref="D24:E28"/>
    <mergeCell ref="D4:E4"/>
    <mergeCell ref="F4:G4"/>
    <mergeCell ref="B14:C14"/>
    <mergeCell ref="B15:C18"/>
    <mergeCell ref="B24:C24"/>
    <mergeCell ref="B25:C28"/>
    <mergeCell ref="D14:E14"/>
    <mergeCell ref="D5:E9"/>
    <mergeCell ref="F5:G9"/>
    <mergeCell ref="B19:C19"/>
    <mergeCell ref="B20:C23"/>
    <mergeCell ref="F24:G24"/>
    <mergeCell ref="M6:M7"/>
    <mergeCell ref="N6:O6"/>
    <mergeCell ref="N8:O8"/>
    <mergeCell ref="D15:E18"/>
    <mergeCell ref="F14:G14"/>
    <mergeCell ref="F15:G18"/>
    <mergeCell ref="D10:G10"/>
    <mergeCell ref="F25:G28"/>
    <mergeCell ref="D19:E19"/>
    <mergeCell ref="D20:E23"/>
    <mergeCell ref="F19:G19"/>
    <mergeCell ref="F20:G23"/>
  </mergeCells>
  <pageMargins left="0.7" right="0.7" top="0.75" bottom="0.75" header="0.3" footer="0.3"/>
  <pageSetup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zoomScale="54" zoomScaleNormal="54" workbookViewId="0">
      <selection activeCell="B2" sqref="B2:L10"/>
    </sheetView>
  </sheetViews>
  <sheetFormatPr baseColWidth="10" defaultColWidth="10.90625" defaultRowHeight="14.5" x14ac:dyDescent="0.35"/>
  <cols>
    <col min="1" max="1" width="4.81640625" customWidth="1"/>
    <col min="2" max="2" width="10.7265625" customWidth="1"/>
    <col min="3" max="3" width="10.6328125" customWidth="1"/>
    <col min="4" max="12" width="12.6328125" customWidth="1"/>
  </cols>
  <sheetData>
    <row r="1" spans="1:13" x14ac:dyDescent="0.35">
      <c r="A1" s="33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spans="1:13" ht="15" x14ac:dyDescent="0.35">
      <c r="A2" s="100"/>
      <c r="B2" s="193" t="s">
        <v>383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00"/>
    </row>
    <row r="3" spans="1:13" ht="17.25" customHeight="1" thickBot="1" x14ac:dyDescent="0.4">
      <c r="A3" s="100"/>
      <c r="B3" s="186" t="s">
        <v>21</v>
      </c>
      <c r="C3" s="186"/>
      <c r="D3" s="186" t="s">
        <v>28</v>
      </c>
      <c r="E3" s="186"/>
      <c r="F3" s="186"/>
      <c r="G3" s="186" t="s">
        <v>34</v>
      </c>
      <c r="H3" s="186"/>
      <c r="I3" s="186"/>
      <c r="J3" s="186" t="s">
        <v>35</v>
      </c>
      <c r="K3" s="186"/>
      <c r="L3" s="186"/>
      <c r="M3" s="100"/>
    </row>
    <row r="4" spans="1:13" ht="75" customHeight="1" x14ac:dyDescent="0.35">
      <c r="A4" s="100"/>
      <c r="B4" s="181" t="s">
        <v>22</v>
      </c>
      <c r="C4" s="181"/>
      <c r="D4" s="183" t="s">
        <v>376</v>
      </c>
      <c r="E4" s="183"/>
      <c r="F4" s="184"/>
      <c r="G4" s="188" t="s">
        <v>377</v>
      </c>
      <c r="H4" s="183"/>
      <c r="I4" s="184"/>
      <c r="J4" s="188" t="s">
        <v>36</v>
      </c>
      <c r="K4" s="183"/>
      <c r="L4" s="183"/>
      <c r="M4" s="100"/>
    </row>
    <row r="5" spans="1:13" ht="59.5" customHeight="1" x14ac:dyDescent="0.35">
      <c r="A5" s="100"/>
      <c r="B5" s="182" t="s">
        <v>23</v>
      </c>
      <c r="C5" s="182"/>
      <c r="D5" s="179" t="s">
        <v>29</v>
      </c>
      <c r="E5" s="179"/>
      <c r="F5" s="180"/>
      <c r="G5" s="189" t="s">
        <v>40</v>
      </c>
      <c r="H5" s="190"/>
      <c r="I5" s="191"/>
      <c r="J5" s="185" t="s">
        <v>37</v>
      </c>
      <c r="K5" s="179"/>
      <c r="L5" s="179"/>
      <c r="M5" s="100"/>
    </row>
    <row r="6" spans="1:13" ht="60" customHeight="1" x14ac:dyDescent="0.35">
      <c r="A6" s="100"/>
      <c r="B6" s="182" t="s">
        <v>24</v>
      </c>
      <c r="C6" s="182"/>
      <c r="D6" s="179" t="s">
        <v>33</v>
      </c>
      <c r="E6" s="179"/>
      <c r="F6" s="180"/>
      <c r="G6" s="185" t="s">
        <v>38</v>
      </c>
      <c r="H6" s="179"/>
      <c r="I6" s="180"/>
      <c r="J6" s="185" t="s">
        <v>39</v>
      </c>
      <c r="K6" s="179"/>
      <c r="L6" s="179"/>
      <c r="M6" s="100"/>
    </row>
    <row r="7" spans="1:13" ht="60" customHeight="1" x14ac:dyDescent="0.35">
      <c r="A7" s="100"/>
      <c r="B7" s="182" t="s">
        <v>25</v>
      </c>
      <c r="C7" s="182"/>
      <c r="D7" s="179" t="s">
        <v>30</v>
      </c>
      <c r="E7" s="179"/>
      <c r="F7" s="180"/>
      <c r="G7" s="185" t="s">
        <v>41</v>
      </c>
      <c r="H7" s="179"/>
      <c r="I7" s="180"/>
      <c r="J7" s="185" t="s">
        <v>43</v>
      </c>
      <c r="K7" s="179"/>
      <c r="L7" s="179"/>
      <c r="M7" s="100"/>
    </row>
    <row r="8" spans="1:13" ht="60" customHeight="1" x14ac:dyDescent="0.35">
      <c r="A8" s="100"/>
      <c r="B8" s="182" t="s">
        <v>26</v>
      </c>
      <c r="C8" s="182"/>
      <c r="D8" s="179" t="s">
        <v>31</v>
      </c>
      <c r="E8" s="179"/>
      <c r="F8" s="180"/>
      <c r="G8" s="185" t="s">
        <v>44</v>
      </c>
      <c r="H8" s="179"/>
      <c r="I8" s="180"/>
      <c r="J8" s="185" t="s">
        <v>43</v>
      </c>
      <c r="K8" s="179"/>
      <c r="L8" s="179"/>
      <c r="M8" s="100"/>
    </row>
    <row r="9" spans="1:13" ht="56" customHeight="1" x14ac:dyDescent="0.35">
      <c r="A9" s="100"/>
      <c r="B9" s="192" t="s">
        <v>27</v>
      </c>
      <c r="C9" s="192"/>
      <c r="D9" s="179" t="s">
        <v>32</v>
      </c>
      <c r="E9" s="179"/>
      <c r="F9" s="180"/>
      <c r="G9" s="185" t="s">
        <v>42</v>
      </c>
      <c r="H9" s="179"/>
      <c r="I9" s="180"/>
      <c r="J9" s="185" t="s">
        <v>39</v>
      </c>
      <c r="K9" s="179"/>
      <c r="L9" s="179"/>
      <c r="M9" s="100"/>
    </row>
    <row r="10" spans="1:13" ht="24" customHeight="1" x14ac:dyDescent="0.35">
      <c r="A10" s="100"/>
      <c r="B10" s="187" t="s">
        <v>244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00"/>
    </row>
    <row r="11" spans="1:13" x14ac:dyDescent="0.35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</row>
  </sheetData>
  <mergeCells count="30">
    <mergeCell ref="B2:L2"/>
    <mergeCell ref="J3:L3"/>
    <mergeCell ref="J5:L5"/>
    <mergeCell ref="J6:L6"/>
    <mergeCell ref="J7:L7"/>
    <mergeCell ref="B3:C3"/>
    <mergeCell ref="D3:F3"/>
    <mergeCell ref="G8:I8"/>
    <mergeCell ref="G3:I3"/>
    <mergeCell ref="B10:L10"/>
    <mergeCell ref="G9:I9"/>
    <mergeCell ref="J8:L8"/>
    <mergeCell ref="J9:L9"/>
    <mergeCell ref="J4:L4"/>
    <mergeCell ref="B6:C6"/>
    <mergeCell ref="B7:C7"/>
    <mergeCell ref="G5:I5"/>
    <mergeCell ref="G6:I6"/>
    <mergeCell ref="G7:I7"/>
    <mergeCell ref="B8:C8"/>
    <mergeCell ref="B9:C9"/>
    <mergeCell ref="G4:I4"/>
    <mergeCell ref="D7:F7"/>
    <mergeCell ref="D8:F8"/>
    <mergeCell ref="D9:F9"/>
    <mergeCell ref="D6:F6"/>
    <mergeCell ref="B4:C4"/>
    <mergeCell ref="B5:C5"/>
    <mergeCell ref="D4:F4"/>
    <mergeCell ref="D5:F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F0A2-FE78-4C06-9204-1E098ADE784D}">
  <dimension ref="A1:I32"/>
  <sheetViews>
    <sheetView tabSelected="1" workbookViewId="0">
      <selection sqref="A1:F9"/>
    </sheetView>
  </sheetViews>
  <sheetFormatPr baseColWidth="10" defaultRowHeight="14.5" x14ac:dyDescent="0.35"/>
  <cols>
    <col min="1" max="1" width="19.90625" customWidth="1"/>
    <col min="2" max="2" width="8.7265625" customWidth="1"/>
    <col min="4" max="4" width="15.1796875" customWidth="1"/>
    <col min="5" max="5" width="12.81640625" customWidth="1"/>
    <col min="9" max="9" width="18.7265625" customWidth="1"/>
    <col min="10" max="10" width="12.81640625" bestFit="1" customWidth="1"/>
    <col min="11" max="11" width="17.81640625" bestFit="1" customWidth="1"/>
  </cols>
  <sheetData>
    <row r="1" spans="1:9" x14ac:dyDescent="0.35">
      <c r="A1" s="101" t="s">
        <v>389</v>
      </c>
      <c r="B1" s="100"/>
      <c r="C1" s="100"/>
      <c r="D1" s="100"/>
      <c r="E1" s="100"/>
      <c r="F1" s="100"/>
      <c r="G1" s="100"/>
    </row>
    <row r="2" spans="1:9" ht="30.5" customHeight="1" thickBot="1" x14ac:dyDescent="0.4">
      <c r="A2" s="42" t="s">
        <v>80</v>
      </c>
      <c r="B2" s="42" t="s">
        <v>84</v>
      </c>
      <c r="C2" s="42" t="s">
        <v>78</v>
      </c>
      <c r="D2" s="42" t="s">
        <v>79</v>
      </c>
      <c r="E2" s="42" t="s">
        <v>361</v>
      </c>
      <c r="F2" s="42" t="s">
        <v>362</v>
      </c>
      <c r="G2" s="100"/>
    </row>
    <row r="3" spans="1:9" ht="15" customHeight="1" x14ac:dyDescent="0.35">
      <c r="A3" s="107" t="s">
        <v>23</v>
      </c>
      <c r="B3" s="134">
        <v>67</v>
      </c>
      <c r="C3" s="137">
        <v>16</v>
      </c>
      <c r="D3" s="143">
        <v>505994</v>
      </c>
      <c r="E3" s="140">
        <v>162185.88</v>
      </c>
      <c r="F3" s="110">
        <v>2.09</v>
      </c>
      <c r="G3" s="109"/>
    </row>
    <row r="4" spans="1:9" ht="16.5" customHeight="1" x14ac:dyDescent="0.35">
      <c r="A4" s="107" t="s">
        <v>83</v>
      </c>
      <c r="B4" s="135">
        <v>44</v>
      </c>
      <c r="C4" s="138">
        <v>39</v>
      </c>
      <c r="D4" s="144">
        <v>951253</v>
      </c>
      <c r="E4" s="141">
        <v>629527.5</v>
      </c>
      <c r="F4" s="110">
        <v>0.66</v>
      </c>
      <c r="G4" s="100"/>
    </row>
    <row r="5" spans="1:9" ht="31.5" customHeight="1" x14ac:dyDescent="0.35">
      <c r="A5" s="107" t="s">
        <v>82</v>
      </c>
      <c r="B5" s="135">
        <v>40</v>
      </c>
      <c r="C5" s="138">
        <v>16</v>
      </c>
      <c r="D5" s="144">
        <v>713555</v>
      </c>
      <c r="E5" s="141">
        <v>69898.16</v>
      </c>
      <c r="F5" s="110">
        <v>4.08</v>
      </c>
      <c r="G5" s="100"/>
    </row>
    <row r="6" spans="1:9" ht="17.5" customHeight="1" x14ac:dyDescent="0.35">
      <c r="A6" s="107" t="s">
        <v>81</v>
      </c>
      <c r="B6" s="135">
        <v>18</v>
      </c>
      <c r="C6" s="138">
        <v>2</v>
      </c>
      <c r="D6" s="144">
        <v>433327</v>
      </c>
      <c r="E6" s="141">
        <v>1501.93</v>
      </c>
      <c r="F6" s="110">
        <v>51.93</v>
      </c>
      <c r="G6" s="100"/>
      <c r="I6" s="10"/>
    </row>
    <row r="7" spans="1:9" ht="29" customHeight="1" x14ac:dyDescent="0.35">
      <c r="A7" s="107" t="s">
        <v>25</v>
      </c>
      <c r="B7" s="135">
        <v>8</v>
      </c>
      <c r="C7" s="138">
        <v>1</v>
      </c>
      <c r="D7" s="144">
        <v>650083</v>
      </c>
      <c r="E7" s="141">
        <v>45033.45</v>
      </c>
      <c r="F7" s="110">
        <v>0.66</v>
      </c>
      <c r="G7" s="100"/>
    </row>
    <row r="8" spans="1:9" ht="17.5" customHeight="1" x14ac:dyDescent="0.35">
      <c r="A8" s="108" t="s">
        <v>24</v>
      </c>
      <c r="B8" s="136">
        <v>5</v>
      </c>
      <c r="C8" s="139">
        <v>2</v>
      </c>
      <c r="D8" s="145">
        <v>138775</v>
      </c>
      <c r="E8" s="142">
        <v>162.69</v>
      </c>
      <c r="F8" s="111">
        <v>42.64</v>
      </c>
      <c r="G8" s="100"/>
    </row>
    <row r="9" spans="1:9" x14ac:dyDescent="0.35">
      <c r="A9" s="194" t="s">
        <v>96</v>
      </c>
      <c r="B9" s="194"/>
      <c r="C9" s="194"/>
      <c r="D9" s="194"/>
      <c r="E9" s="194"/>
      <c r="F9" s="194"/>
      <c r="G9" s="100"/>
    </row>
    <row r="10" spans="1:9" x14ac:dyDescent="0.35">
      <c r="A10" s="100"/>
      <c r="B10" s="100"/>
      <c r="C10" s="100"/>
      <c r="D10" s="100"/>
      <c r="E10" s="100"/>
      <c r="F10" s="100"/>
      <c r="G10" s="100"/>
    </row>
    <row r="12" spans="1:9" ht="28" x14ac:dyDescent="0.35">
      <c r="A12" s="20" t="s">
        <v>110</v>
      </c>
      <c r="B12" s="20" t="s">
        <v>84</v>
      </c>
      <c r="C12" s="20" t="s">
        <v>78</v>
      </c>
      <c r="D12" s="20" t="s">
        <v>112</v>
      </c>
      <c r="E12" s="20" t="s">
        <v>85</v>
      </c>
      <c r="F12" s="28" t="s">
        <v>113</v>
      </c>
    </row>
    <row r="13" spans="1:9" ht="28.5" x14ac:dyDescent="0.35">
      <c r="A13" s="13" t="s">
        <v>108</v>
      </c>
      <c r="B13" s="12">
        <v>36</v>
      </c>
      <c r="C13" s="12">
        <v>10</v>
      </c>
      <c r="D13" s="14">
        <v>122969.852467452</v>
      </c>
      <c r="E13" s="25">
        <v>1729163.595432</v>
      </c>
      <c r="F13" s="26">
        <v>7.1115221713148505E-2</v>
      </c>
    </row>
    <row r="14" spans="1:9" ht="28.5" x14ac:dyDescent="0.35">
      <c r="A14" s="13" t="s">
        <v>102</v>
      </c>
      <c r="B14" s="12">
        <v>27</v>
      </c>
      <c r="C14" s="12">
        <v>6</v>
      </c>
      <c r="D14" s="14">
        <v>240939.14127075</v>
      </c>
      <c r="E14" s="25">
        <v>1385958.5701860001</v>
      </c>
      <c r="F14" s="27">
        <v>0.173842960715929</v>
      </c>
    </row>
    <row r="15" spans="1:9" ht="28.5" x14ac:dyDescent="0.35">
      <c r="A15" s="13" t="s">
        <v>107</v>
      </c>
      <c r="B15" s="12">
        <v>26</v>
      </c>
      <c r="C15" s="12">
        <v>10</v>
      </c>
      <c r="D15" s="14">
        <v>557247.92685870198</v>
      </c>
      <c r="E15" s="25">
        <v>1203544.994066</v>
      </c>
      <c r="F15" s="27">
        <v>0.46300547931832697</v>
      </c>
    </row>
    <row r="16" spans="1:9" ht="28.5" x14ac:dyDescent="0.35">
      <c r="A16" s="13" t="s">
        <v>98</v>
      </c>
      <c r="B16" s="12">
        <v>25</v>
      </c>
      <c r="C16" s="12">
        <v>17</v>
      </c>
      <c r="D16" s="14">
        <v>799340.43587498297</v>
      </c>
      <c r="E16" s="25">
        <v>8562758.0517120007</v>
      </c>
      <c r="F16" s="27">
        <v>9.3350814194168005E-2</v>
      </c>
    </row>
    <row r="17" spans="1:6" ht="28.5" x14ac:dyDescent="0.35">
      <c r="A17" s="13" t="s">
        <v>106</v>
      </c>
      <c r="B17" s="12">
        <v>17</v>
      </c>
      <c r="C17" s="12">
        <v>7</v>
      </c>
      <c r="D17" s="14">
        <v>219938.05662533801</v>
      </c>
      <c r="E17" s="25">
        <v>3244828.557143</v>
      </c>
      <c r="F17" s="27">
        <v>6.7781102376326702E-2</v>
      </c>
    </row>
    <row r="18" spans="1:6" ht="42.5" x14ac:dyDescent="0.35">
      <c r="A18" s="13" t="s">
        <v>101</v>
      </c>
      <c r="B18" s="12">
        <v>17</v>
      </c>
      <c r="C18" s="12">
        <v>13</v>
      </c>
      <c r="D18" s="14">
        <v>258273.20121013999</v>
      </c>
      <c r="E18" s="25">
        <v>22646258.248645999</v>
      </c>
      <c r="F18" s="27">
        <v>1.14046743781871E-2</v>
      </c>
    </row>
    <row r="19" spans="1:6" ht="28.5" x14ac:dyDescent="0.35">
      <c r="A19" s="13" t="s">
        <v>97</v>
      </c>
      <c r="B19" s="12">
        <v>13</v>
      </c>
      <c r="C19" s="12">
        <v>6</v>
      </c>
      <c r="D19" s="14">
        <v>3993300.6453001499</v>
      </c>
      <c r="E19" s="25">
        <v>2310190.225352</v>
      </c>
      <c r="F19" s="27">
        <v>1.7285592335547599</v>
      </c>
    </row>
    <row r="20" spans="1:6" ht="28.5" x14ac:dyDescent="0.35">
      <c r="A20" s="13" t="s">
        <v>104</v>
      </c>
      <c r="B20" s="12">
        <v>10</v>
      </c>
      <c r="C20" s="12">
        <v>3</v>
      </c>
      <c r="D20" s="14">
        <v>452987.40251200501</v>
      </c>
      <c r="E20" s="25">
        <v>1406188.9426770001</v>
      </c>
      <c r="F20" s="27">
        <v>0.32213836189725698</v>
      </c>
    </row>
    <row r="21" spans="1:6" ht="28.5" x14ac:dyDescent="0.35">
      <c r="A21" s="13" t="s">
        <v>105</v>
      </c>
      <c r="B21" s="12">
        <v>8</v>
      </c>
      <c r="C21" s="12">
        <v>4</v>
      </c>
      <c r="D21" s="14">
        <v>381023.67922448402</v>
      </c>
      <c r="E21" s="25">
        <v>2024371.45404</v>
      </c>
      <c r="F21" s="27">
        <v>0.188218263236266</v>
      </c>
    </row>
    <row r="22" spans="1:6" ht="42.5" x14ac:dyDescent="0.35">
      <c r="A22" s="13" t="s">
        <v>103</v>
      </c>
      <c r="B22" s="12">
        <v>1</v>
      </c>
      <c r="C22" s="12" t="s">
        <v>111</v>
      </c>
      <c r="D22" s="14">
        <v>1091837.0212973</v>
      </c>
      <c r="E22" s="25">
        <v>2329026.7571709999</v>
      </c>
      <c r="F22" s="27">
        <v>0.468795396160893</v>
      </c>
    </row>
    <row r="23" spans="1:6" ht="84.5" x14ac:dyDescent="0.35">
      <c r="A23" s="13" t="s">
        <v>100</v>
      </c>
      <c r="B23" s="12">
        <v>1</v>
      </c>
      <c r="C23" s="12" t="s">
        <v>111</v>
      </c>
      <c r="D23" s="14">
        <v>0</v>
      </c>
      <c r="E23" s="25">
        <v>43614120.187664002</v>
      </c>
      <c r="F23" s="27">
        <v>0</v>
      </c>
    </row>
    <row r="24" spans="1:6" ht="56.5" x14ac:dyDescent="0.35">
      <c r="A24" s="13" t="s">
        <v>99</v>
      </c>
      <c r="B24" s="12">
        <v>1</v>
      </c>
      <c r="C24" s="12" t="s">
        <v>111</v>
      </c>
      <c r="D24" s="14">
        <v>239212.76952797701</v>
      </c>
      <c r="E24" s="25">
        <v>374553.63114800001</v>
      </c>
      <c r="F24" s="27">
        <v>0.63866092766153104</v>
      </c>
    </row>
    <row r="25" spans="1:6" x14ac:dyDescent="0.35">
      <c r="A25" s="195" t="s">
        <v>96</v>
      </c>
      <c r="B25" s="195"/>
      <c r="C25" s="195"/>
      <c r="D25" s="195"/>
      <c r="E25" s="195"/>
      <c r="F25" s="195"/>
    </row>
    <row r="26" spans="1:6" x14ac:dyDescent="0.35">
      <c r="A26" s="13"/>
      <c r="B26" s="12"/>
      <c r="C26" s="12"/>
      <c r="D26" s="14"/>
      <c r="E26" s="25"/>
      <c r="F26" s="29"/>
    </row>
    <row r="27" spans="1:6" x14ac:dyDescent="0.35">
      <c r="A27" s="13"/>
      <c r="B27" s="12"/>
      <c r="C27" s="12"/>
      <c r="D27" s="14"/>
      <c r="E27" s="25"/>
      <c r="F27" s="29"/>
    </row>
    <row r="28" spans="1:6" x14ac:dyDescent="0.35">
      <c r="A28" s="13"/>
      <c r="B28" s="12"/>
      <c r="C28" s="12"/>
      <c r="D28" s="14"/>
      <c r="E28" s="25"/>
      <c r="F28" s="29"/>
    </row>
    <row r="29" spans="1:6" ht="15.5" x14ac:dyDescent="0.35">
      <c r="A29" s="15"/>
      <c r="B29" s="17" t="s">
        <v>86</v>
      </c>
      <c r="C29" s="17" t="s">
        <v>90</v>
      </c>
    </row>
    <row r="30" spans="1:6" ht="15.5" x14ac:dyDescent="0.35">
      <c r="A30" s="15" t="s">
        <v>89</v>
      </c>
      <c r="B30" s="19">
        <v>499071</v>
      </c>
      <c r="C30" s="16">
        <v>2400901238402.9302</v>
      </c>
    </row>
    <row r="31" spans="1:6" ht="15.5" x14ac:dyDescent="0.35">
      <c r="A31" s="15" t="s">
        <v>91</v>
      </c>
      <c r="B31" s="16">
        <v>40.880000000000003</v>
      </c>
      <c r="C31" s="16">
        <v>714.1</v>
      </c>
    </row>
    <row r="32" spans="1:6" ht="15.5" x14ac:dyDescent="0.35">
      <c r="A32" s="15" t="s">
        <v>92</v>
      </c>
      <c r="B32" s="18">
        <v>628328.80000000005</v>
      </c>
      <c r="C32" s="16">
        <v>1122234948326.47</v>
      </c>
    </row>
  </sheetData>
  <sortState xmlns:xlrd2="http://schemas.microsoft.com/office/spreadsheetml/2017/richdata2" ref="A13:F21">
    <sortCondition descending="1" ref="B13:B21"/>
  </sortState>
  <mergeCells count="2">
    <mergeCell ref="A9:F9"/>
    <mergeCell ref="A25:F25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44C0-4043-47D0-BAD6-B9C5DA9698D9}">
  <dimension ref="A3:H26"/>
  <sheetViews>
    <sheetView zoomScale="48" zoomScaleNormal="48" workbookViewId="0">
      <selection activeCell="A3" sqref="A3:H25"/>
    </sheetView>
  </sheetViews>
  <sheetFormatPr baseColWidth="10" defaultRowHeight="14.5" x14ac:dyDescent="0.35"/>
  <cols>
    <col min="1" max="1" width="27.54296875" customWidth="1"/>
    <col min="2" max="2" width="2" customWidth="1"/>
    <col min="3" max="3" width="23.54296875" style="49" customWidth="1"/>
    <col min="4" max="4" width="13.26953125" customWidth="1"/>
    <col min="5" max="5" width="12.6328125" customWidth="1"/>
    <col min="6" max="6" width="14.1796875" customWidth="1"/>
    <col min="7" max="7" width="19.6328125" customWidth="1"/>
    <col min="8" max="8" width="8.81640625" customWidth="1"/>
  </cols>
  <sheetData>
    <row r="3" spans="1:8" ht="15.5" x14ac:dyDescent="0.35">
      <c r="A3" s="198" t="s">
        <v>384</v>
      </c>
      <c r="B3" s="198"/>
      <c r="C3" s="198"/>
      <c r="D3" s="198"/>
      <c r="E3" s="198"/>
      <c r="F3" s="198"/>
      <c r="G3" s="198"/>
      <c r="H3" s="198"/>
    </row>
    <row r="4" spans="1:8" ht="28.5" thickBot="1" x14ac:dyDescent="0.4">
      <c r="A4" s="41" t="s">
        <v>151</v>
      </c>
      <c r="B4" s="41"/>
      <c r="C4" s="48" t="s">
        <v>152</v>
      </c>
      <c r="D4" s="41" t="s">
        <v>66</v>
      </c>
      <c r="E4" s="42" t="s">
        <v>153</v>
      </c>
      <c r="F4" s="42" t="s">
        <v>241</v>
      </c>
      <c r="G4" s="42" t="s">
        <v>242</v>
      </c>
      <c r="H4" s="41" t="s">
        <v>154</v>
      </c>
    </row>
    <row r="5" spans="1:8" x14ac:dyDescent="0.35">
      <c r="A5" s="50" t="s">
        <v>181</v>
      </c>
      <c r="B5" s="38"/>
      <c r="C5" s="46"/>
      <c r="D5" s="44"/>
      <c r="E5" s="44"/>
      <c r="F5" s="51"/>
      <c r="G5" s="51"/>
      <c r="H5" s="51"/>
    </row>
    <row r="6" spans="1:8" ht="28" customHeight="1" x14ac:dyDescent="0.35">
      <c r="A6" s="60" t="s">
        <v>240</v>
      </c>
      <c r="B6" s="43"/>
      <c r="C6" s="46" t="s">
        <v>166</v>
      </c>
      <c r="D6" s="44" t="s">
        <v>171</v>
      </c>
      <c r="E6" s="44">
        <v>1</v>
      </c>
      <c r="F6" s="52">
        <v>3487.88</v>
      </c>
      <c r="G6" s="52">
        <v>2525.1799999999998</v>
      </c>
      <c r="H6" s="59" t="s">
        <v>185</v>
      </c>
    </row>
    <row r="7" spans="1:8" ht="20" customHeight="1" x14ac:dyDescent="0.35">
      <c r="A7" s="43" t="s">
        <v>155</v>
      </c>
      <c r="B7" s="43"/>
      <c r="C7" s="46" t="s">
        <v>169</v>
      </c>
      <c r="D7" s="44" t="s">
        <v>170</v>
      </c>
      <c r="E7" s="44">
        <v>1</v>
      </c>
      <c r="F7" s="51">
        <v>53.29</v>
      </c>
      <c r="G7" s="51">
        <v>54.94</v>
      </c>
      <c r="H7" s="59" t="s">
        <v>185</v>
      </c>
    </row>
    <row r="8" spans="1:8" x14ac:dyDescent="0.35">
      <c r="A8" s="50" t="s">
        <v>180</v>
      </c>
      <c r="B8" s="38"/>
      <c r="C8" s="46"/>
      <c r="D8" s="44"/>
      <c r="E8" s="44"/>
      <c r="F8" s="51"/>
      <c r="G8" s="51"/>
      <c r="H8" s="59"/>
    </row>
    <row r="9" spans="1:8" ht="20" customHeight="1" x14ac:dyDescent="0.35">
      <c r="A9" s="43" t="s">
        <v>156</v>
      </c>
      <c r="B9" s="43"/>
      <c r="C9" s="46" t="s">
        <v>165</v>
      </c>
      <c r="D9" s="44" t="s">
        <v>157</v>
      </c>
      <c r="E9" s="44"/>
      <c r="F9" s="51"/>
      <c r="G9" s="51"/>
      <c r="H9" s="59"/>
    </row>
    <row r="10" spans="1:8" x14ac:dyDescent="0.35">
      <c r="A10" s="50" t="s">
        <v>179</v>
      </c>
      <c r="B10" s="38"/>
      <c r="C10" s="46"/>
      <c r="D10" s="44"/>
      <c r="E10" s="44"/>
      <c r="F10" s="51"/>
      <c r="G10" s="51"/>
      <c r="H10" s="59"/>
    </row>
    <row r="11" spans="1:8" ht="20" customHeight="1" x14ac:dyDescent="0.35">
      <c r="A11" s="87" t="s">
        <v>159</v>
      </c>
      <c r="B11" s="33"/>
      <c r="C11" s="46" t="s">
        <v>164</v>
      </c>
      <c r="D11" s="44" t="s">
        <v>157</v>
      </c>
      <c r="E11" s="44">
        <v>100</v>
      </c>
      <c r="F11" s="51">
        <v>55.71</v>
      </c>
      <c r="G11" s="51">
        <v>54.8</v>
      </c>
      <c r="H11" s="59"/>
    </row>
    <row r="12" spans="1:8" ht="20" customHeight="1" x14ac:dyDescent="0.35">
      <c r="A12" s="33" t="s">
        <v>158</v>
      </c>
      <c r="B12" s="33"/>
      <c r="C12" s="47" t="s">
        <v>243</v>
      </c>
      <c r="D12" s="44" t="s">
        <v>168</v>
      </c>
      <c r="E12" s="44"/>
      <c r="F12" s="51">
        <v>937.65</v>
      </c>
      <c r="G12" s="51">
        <v>1059.18</v>
      </c>
      <c r="H12" s="59" t="s">
        <v>185</v>
      </c>
    </row>
    <row r="13" spans="1:8" ht="20.5" customHeight="1" x14ac:dyDescent="0.35">
      <c r="A13" s="33" t="s">
        <v>141</v>
      </c>
      <c r="B13" s="33"/>
      <c r="C13" s="46" t="s">
        <v>166</v>
      </c>
      <c r="D13" s="44" t="s">
        <v>172</v>
      </c>
      <c r="E13" s="44"/>
      <c r="F13" s="51">
        <v>1506.67</v>
      </c>
      <c r="G13" s="51">
        <v>1269.55</v>
      </c>
      <c r="H13" s="59" t="s">
        <v>185</v>
      </c>
    </row>
    <row r="14" spans="1:8" ht="20" customHeight="1" x14ac:dyDescent="0.35">
      <c r="A14" s="33" t="s">
        <v>88</v>
      </c>
      <c r="B14" s="33"/>
      <c r="C14" s="199" t="s">
        <v>166</v>
      </c>
      <c r="D14" s="44" t="s">
        <v>170</v>
      </c>
      <c r="E14" s="44">
        <v>1</v>
      </c>
      <c r="F14" s="51">
        <v>94.73</v>
      </c>
      <c r="G14" s="51">
        <v>86.13</v>
      </c>
      <c r="H14" s="59" t="s">
        <v>185</v>
      </c>
    </row>
    <row r="15" spans="1:8" ht="20" customHeight="1" x14ac:dyDescent="0.35">
      <c r="A15" s="33" t="s">
        <v>87</v>
      </c>
      <c r="B15" s="33"/>
      <c r="C15" s="199"/>
      <c r="D15" s="44" t="s">
        <v>167</v>
      </c>
      <c r="E15" s="44"/>
      <c r="F15" s="51">
        <v>528</v>
      </c>
      <c r="G15" s="51">
        <v>161.30000000000001</v>
      </c>
      <c r="H15" s="59" t="s">
        <v>185</v>
      </c>
    </row>
    <row r="16" spans="1:8" ht="20" customHeight="1" x14ac:dyDescent="0.35">
      <c r="A16" s="33" t="s">
        <v>160</v>
      </c>
      <c r="B16" s="33"/>
      <c r="C16" s="199"/>
      <c r="D16" s="44" t="s">
        <v>173</v>
      </c>
      <c r="E16" s="44">
        <v>1</v>
      </c>
      <c r="F16" s="51">
        <v>88.04</v>
      </c>
      <c r="G16" s="51">
        <v>88.49</v>
      </c>
      <c r="H16" s="59" t="s">
        <v>185</v>
      </c>
    </row>
    <row r="17" spans="1:8" ht="20" customHeight="1" x14ac:dyDescent="0.35">
      <c r="A17" s="33" t="s">
        <v>177</v>
      </c>
      <c r="B17" s="33"/>
      <c r="C17" s="199"/>
      <c r="D17" s="44" t="s">
        <v>173</v>
      </c>
      <c r="E17" s="44">
        <v>1</v>
      </c>
      <c r="F17" s="51">
        <v>95.36</v>
      </c>
      <c r="G17" s="51">
        <v>95.78</v>
      </c>
      <c r="H17" s="59" t="s">
        <v>188</v>
      </c>
    </row>
    <row r="18" spans="1:8" ht="20" customHeight="1" x14ac:dyDescent="0.35">
      <c r="A18" s="33" t="s">
        <v>143</v>
      </c>
      <c r="B18" s="33"/>
      <c r="C18" s="199"/>
      <c r="D18" s="44" t="s">
        <v>173</v>
      </c>
      <c r="E18" s="45">
        <v>1</v>
      </c>
      <c r="F18" s="51">
        <v>5.86</v>
      </c>
      <c r="G18" s="51">
        <v>6.61</v>
      </c>
      <c r="H18" s="59" t="s">
        <v>185</v>
      </c>
    </row>
    <row r="19" spans="1:8" x14ac:dyDescent="0.35">
      <c r="A19" s="50" t="s">
        <v>178</v>
      </c>
      <c r="B19" s="38"/>
      <c r="C19" s="46"/>
      <c r="D19" s="44"/>
      <c r="E19" s="45"/>
      <c r="F19" s="51"/>
      <c r="G19" s="51"/>
      <c r="H19" s="51"/>
    </row>
    <row r="20" spans="1:8" ht="20" customHeight="1" x14ac:dyDescent="0.35">
      <c r="A20" s="33" t="s">
        <v>161</v>
      </c>
      <c r="B20" s="33"/>
      <c r="C20" s="199" t="s">
        <v>165</v>
      </c>
      <c r="D20" s="44" t="s">
        <v>174</v>
      </c>
      <c r="E20" s="45"/>
      <c r="F20" s="51">
        <v>48.77</v>
      </c>
      <c r="G20" s="51">
        <v>0</v>
      </c>
      <c r="H20" s="51"/>
    </row>
    <row r="21" spans="1:8" ht="20" customHeight="1" x14ac:dyDescent="0.35">
      <c r="A21" s="33" t="s">
        <v>162</v>
      </c>
      <c r="B21" s="33"/>
      <c r="C21" s="199"/>
      <c r="D21" s="44" t="s">
        <v>175</v>
      </c>
      <c r="E21" s="45"/>
      <c r="F21" s="51"/>
      <c r="G21" s="51"/>
      <c r="H21" s="51"/>
    </row>
    <row r="22" spans="1:8" ht="20" customHeight="1" x14ac:dyDescent="0.35">
      <c r="A22" s="33" t="s">
        <v>163</v>
      </c>
      <c r="B22" s="33"/>
      <c r="C22" s="199"/>
      <c r="D22" s="44" t="s">
        <v>157</v>
      </c>
      <c r="E22" s="45"/>
      <c r="F22" s="51"/>
      <c r="G22" s="51"/>
      <c r="H22" s="51"/>
    </row>
    <row r="23" spans="1:8" ht="20" customHeight="1" x14ac:dyDescent="0.35">
      <c r="A23" s="33" t="s">
        <v>89</v>
      </c>
      <c r="B23" s="33"/>
      <c r="C23" s="199"/>
      <c r="D23" s="44" t="s">
        <v>176</v>
      </c>
      <c r="E23" s="45"/>
      <c r="F23" s="52">
        <v>4172.6899999999996</v>
      </c>
      <c r="G23" s="51">
        <v>0</v>
      </c>
      <c r="H23" s="51"/>
    </row>
    <row r="24" spans="1:8" ht="20" customHeight="1" x14ac:dyDescent="0.35">
      <c r="A24" s="54" t="s">
        <v>92</v>
      </c>
      <c r="B24" s="54"/>
      <c r="C24" s="55" t="s">
        <v>184</v>
      </c>
      <c r="D24" s="56" t="s">
        <v>171</v>
      </c>
      <c r="E24" s="54">
        <v>1E-3</v>
      </c>
      <c r="F24" s="88">
        <v>773</v>
      </c>
      <c r="G24" s="76">
        <v>0</v>
      </c>
      <c r="H24" s="54"/>
    </row>
    <row r="25" spans="1:8" ht="19" customHeight="1" x14ac:dyDescent="0.35">
      <c r="A25" s="53" t="s">
        <v>186</v>
      </c>
      <c r="B25" s="196" t="s">
        <v>187</v>
      </c>
      <c r="C25" s="197"/>
      <c r="D25" s="197"/>
      <c r="E25" s="197"/>
      <c r="F25" s="197"/>
      <c r="G25" s="197"/>
      <c r="H25" s="197"/>
    </row>
    <row r="26" spans="1:8" x14ac:dyDescent="0.35">
      <c r="A26" s="57"/>
      <c r="B26" s="58"/>
      <c r="C26" s="58"/>
      <c r="D26" s="58"/>
      <c r="E26" s="58"/>
      <c r="F26" s="58"/>
      <c r="G26" s="58"/>
      <c r="H26" s="58"/>
    </row>
  </sheetData>
  <mergeCells count="4">
    <mergeCell ref="B25:H25"/>
    <mergeCell ref="A3:H3"/>
    <mergeCell ref="C14:C18"/>
    <mergeCell ref="C20:C23"/>
  </mergeCells>
  <pageMargins left="0.7" right="0.7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8D6F-E63D-40FF-9645-2C799402F4CA}">
  <dimension ref="A3:K18"/>
  <sheetViews>
    <sheetView zoomScale="85" zoomScaleNormal="85" workbookViewId="0">
      <selection activeCell="B3" sqref="B3:I17"/>
    </sheetView>
  </sheetViews>
  <sheetFormatPr baseColWidth="10" defaultColWidth="8.7265625" defaultRowHeight="14.5" x14ac:dyDescent="0.35"/>
  <cols>
    <col min="2" max="2" width="6.453125" customWidth="1"/>
    <col min="3" max="3" width="9.36328125" customWidth="1"/>
    <col min="4" max="4" width="12.81640625" customWidth="1"/>
    <col min="7" max="9" width="8.7265625" customWidth="1"/>
  </cols>
  <sheetData>
    <row r="3" spans="1:11" ht="15.5" x14ac:dyDescent="0.35">
      <c r="A3" s="100"/>
      <c r="B3" s="198" t="s">
        <v>385</v>
      </c>
      <c r="C3" s="198"/>
      <c r="D3" s="198"/>
      <c r="E3" s="198"/>
      <c r="F3" s="198"/>
      <c r="G3" s="198"/>
      <c r="H3" s="198"/>
      <c r="I3" s="198"/>
      <c r="J3" s="100"/>
      <c r="K3" s="100"/>
    </row>
    <row r="4" spans="1:11" ht="15.5" thickBot="1" x14ac:dyDescent="0.4">
      <c r="A4" s="100"/>
      <c r="B4" s="207" t="s">
        <v>65</v>
      </c>
      <c r="C4" s="207"/>
      <c r="D4" s="116" t="s">
        <v>66</v>
      </c>
      <c r="E4" s="207" t="s">
        <v>67</v>
      </c>
      <c r="F4" s="207"/>
      <c r="G4" s="207"/>
      <c r="H4" s="207"/>
      <c r="I4" s="207"/>
      <c r="J4" s="100"/>
      <c r="K4" s="100"/>
    </row>
    <row r="5" spans="1:11" ht="14.5" customHeight="1" x14ac:dyDescent="0.35">
      <c r="A5" s="100"/>
      <c r="B5" s="201" t="s">
        <v>50</v>
      </c>
      <c r="C5" s="201"/>
      <c r="D5" s="202" t="s">
        <v>51</v>
      </c>
      <c r="E5" s="208" t="s">
        <v>53</v>
      </c>
      <c r="F5" s="208"/>
      <c r="G5" s="208"/>
      <c r="H5" s="208"/>
      <c r="I5" s="208"/>
      <c r="J5" s="100"/>
      <c r="K5" s="100"/>
    </row>
    <row r="6" spans="1:11" ht="14.5" customHeight="1" x14ac:dyDescent="0.35">
      <c r="A6" s="100"/>
      <c r="B6" s="201"/>
      <c r="C6" s="201"/>
      <c r="D6" s="202"/>
      <c r="E6" s="200" t="s">
        <v>54</v>
      </c>
      <c r="F6" s="200"/>
      <c r="G6" s="200"/>
      <c r="H6" s="200"/>
      <c r="I6" s="200"/>
      <c r="J6" s="100"/>
      <c r="K6" s="100"/>
    </row>
    <row r="7" spans="1:11" x14ac:dyDescent="0.35">
      <c r="A7" s="100"/>
      <c r="B7" s="201"/>
      <c r="C7" s="201"/>
      <c r="D7" s="202"/>
      <c r="E7" s="200" t="s">
        <v>55</v>
      </c>
      <c r="F7" s="200"/>
      <c r="G7" s="200"/>
      <c r="H7" s="200"/>
      <c r="I7" s="200"/>
      <c r="J7" s="100"/>
      <c r="K7" s="100"/>
    </row>
    <row r="8" spans="1:11" x14ac:dyDescent="0.35">
      <c r="A8" s="100"/>
      <c r="B8" s="201"/>
      <c r="C8" s="201"/>
      <c r="D8" s="202"/>
      <c r="E8" s="200" t="s">
        <v>56</v>
      </c>
      <c r="F8" s="200"/>
      <c r="G8" s="200"/>
      <c r="H8" s="200"/>
      <c r="I8" s="200"/>
      <c r="J8" s="100"/>
      <c r="K8" s="100"/>
    </row>
    <row r="9" spans="1:11" x14ac:dyDescent="0.35">
      <c r="A9" s="100"/>
      <c r="B9" s="201"/>
      <c r="C9" s="201"/>
      <c r="D9" s="202" t="s">
        <v>52</v>
      </c>
      <c r="E9" s="200" t="s">
        <v>57</v>
      </c>
      <c r="F9" s="200"/>
      <c r="G9" s="200"/>
      <c r="H9" s="200"/>
      <c r="I9" s="200"/>
      <c r="J9" s="100"/>
      <c r="K9" s="100"/>
    </row>
    <row r="10" spans="1:11" x14ac:dyDescent="0.35">
      <c r="A10" s="100"/>
      <c r="B10" s="201"/>
      <c r="C10" s="201"/>
      <c r="D10" s="202"/>
      <c r="E10" s="200" t="s">
        <v>58</v>
      </c>
      <c r="F10" s="200"/>
      <c r="G10" s="200"/>
      <c r="H10" s="200"/>
      <c r="I10" s="200"/>
      <c r="J10" s="100"/>
      <c r="K10" s="100"/>
    </row>
    <row r="11" spans="1:11" x14ac:dyDescent="0.35">
      <c r="A11" s="100"/>
      <c r="B11" s="201"/>
      <c r="C11" s="201"/>
      <c r="D11" s="202"/>
      <c r="E11" s="200" t="s">
        <v>59</v>
      </c>
      <c r="F11" s="200"/>
      <c r="G11" s="200"/>
      <c r="H11" s="200"/>
      <c r="I11" s="200"/>
      <c r="J11" s="100"/>
      <c r="K11" s="100"/>
    </row>
    <row r="12" spans="1:11" x14ac:dyDescent="0.35">
      <c r="A12" s="100"/>
      <c r="B12" s="201"/>
      <c r="C12" s="201"/>
      <c r="D12" s="202"/>
      <c r="E12" s="200" t="s">
        <v>60</v>
      </c>
      <c r="F12" s="200"/>
      <c r="G12" s="200"/>
      <c r="H12" s="200"/>
      <c r="I12" s="200"/>
      <c r="J12" s="100"/>
      <c r="K12" s="100"/>
    </row>
    <row r="13" spans="1:11" ht="14.5" customHeight="1" x14ac:dyDescent="0.35">
      <c r="A13" s="100"/>
      <c r="B13" s="201" t="s">
        <v>61</v>
      </c>
      <c r="C13" s="201"/>
      <c r="D13" s="202" t="s">
        <v>51</v>
      </c>
      <c r="E13" s="200" t="s">
        <v>62</v>
      </c>
      <c r="F13" s="200"/>
      <c r="G13" s="200"/>
      <c r="H13" s="200"/>
      <c r="I13" s="200"/>
      <c r="J13" s="100"/>
      <c r="K13" s="100"/>
    </row>
    <row r="14" spans="1:11" x14ac:dyDescent="0.35">
      <c r="A14" s="100"/>
      <c r="B14" s="201"/>
      <c r="C14" s="201"/>
      <c r="D14" s="202"/>
      <c r="E14" s="200" t="s">
        <v>63</v>
      </c>
      <c r="F14" s="200"/>
      <c r="G14" s="200"/>
      <c r="H14" s="200"/>
      <c r="I14" s="200"/>
      <c r="J14" s="100"/>
      <c r="K14" s="100"/>
    </row>
    <row r="15" spans="1:11" ht="15" thickBot="1" x14ac:dyDescent="0.4">
      <c r="A15" s="100"/>
      <c r="B15" s="203"/>
      <c r="C15" s="203"/>
      <c r="D15" s="205"/>
      <c r="E15" s="204" t="s">
        <v>64</v>
      </c>
      <c r="F15" s="204"/>
      <c r="G15" s="204"/>
      <c r="H15" s="204"/>
      <c r="I15" s="204"/>
      <c r="J15" s="100"/>
      <c r="K15" s="100"/>
    </row>
    <row r="16" spans="1:11" ht="14.5" customHeight="1" x14ac:dyDescent="0.35">
      <c r="A16" s="117"/>
      <c r="B16" s="181" t="s">
        <v>391</v>
      </c>
      <c r="C16" s="181"/>
      <c r="D16" s="181"/>
      <c r="E16" s="181"/>
      <c r="F16" s="181"/>
      <c r="G16" s="181"/>
      <c r="H16" s="181"/>
      <c r="I16" s="181"/>
      <c r="J16" s="100"/>
      <c r="K16" s="100"/>
    </row>
    <row r="17" spans="1:11" x14ac:dyDescent="0.35">
      <c r="A17" s="117"/>
      <c r="B17" s="206"/>
      <c r="C17" s="206"/>
      <c r="D17" s="206"/>
      <c r="E17" s="206"/>
      <c r="F17" s="206"/>
      <c r="G17" s="206"/>
      <c r="H17" s="206"/>
      <c r="I17" s="206"/>
      <c r="J17" s="100"/>
      <c r="K17" s="100"/>
    </row>
    <row r="18" spans="1:11" x14ac:dyDescent="0.35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</row>
  </sheetData>
  <mergeCells count="20">
    <mergeCell ref="B16:I17"/>
    <mergeCell ref="B3:I3"/>
    <mergeCell ref="B4:C4"/>
    <mergeCell ref="E4:I4"/>
    <mergeCell ref="E5:I5"/>
    <mergeCell ref="E6:I6"/>
    <mergeCell ref="E12:I12"/>
    <mergeCell ref="B5:C12"/>
    <mergeCell ref="D5:D8"/>
    <mergeCell ref="D9:D12"/>
    <mergeCell ref="B13:C15"/>
    <mergeCell ref="E13:I13"/>
    <mergeCell ref="E14:I14"/>
    <mergeCell ref="E15:I15"/>
    <mergeCell ref="D13:D15"/>
    <mergeCell ref="E7:I7"/>
    <mergeCell ref="E8:I8"/>
    <mergeCell ref="E9:I9"/>
    <mergeCell ref="E10:I10"/>
    <mergeCell ref="E11:I1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33C5-F8CD-48BB-A04B-64F0F5409D21}">
  <dimension ref="A1:J39"/>
  <sheetViews>
    <sheetView zoomScale="81" zoomScaleNormal="81" workbookViewId="0">
      <selection activeCell="A2" sqref="A2:I38"/>
    </sheetView>
  </sheetViews>
  <sheetFormatPr baseColWidth="10" defaultRowHeight="14.5" x14ac:dyDescent="0.35"/>
  <cols>
    <col min="1" max="1" width="17.90625" customWidth="1"/>
    <col min="2" max="2" width="4.6328125" customWidth="1"/>
    <col min="4" max="4" width="4.54296875" customWidth="1"/>
    <col min="6" max="6" width="4.54296875" customWidth="1"/>
    <col min="8" max="8" width="4.54296875" customWidth="1"/>
  </cols>
  <sheetData>
    <row r="1" spans="1:10" x14ac:dyDescent="0.35">
      <c r="A1" s="100" t="s">
        <v>189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x14ac:dyDescent="0.35">
      <c r="A2" s="215" t="s">
        <v>387</v>
      </c>
      <c r="B2" s="215"/>
      <c r="C2" s="215"/>
      <c r="D2" s="215"/>
      <c r="E2" s="215"/>
      <c r="F2" s="215"/>
      <c r="G2" s="215"/>
      <c r="H2" s="215"/>
      <c r="I2" s="215"/>
      <c r="J2" s="100"/>
    </row>
    <row r="3" spans="1:10" ht="15" thickBot="1" x14ac:dyDescent="0.4">
      <c r="A3" s="43"/>
      <c r="B3" s="219" t="s">
        <v>194</v>
      </c>
      <c r="C3" s="219"/>
      <c r="D3" s="219"/>
      <c r="E3" s="219"/>
      <c r="F3" s="219"/>
      <c r="G3" s="219"/>
      <c r="H3" s="219"/>
      <c r="I3" s="64"/>
      <c r="J3" s="100"/>
    </row>
    <row r="4" spans="1:10" ht="18.5" customHeight="1" x14ac:dyDescent="0.35">
      <c r="A4" s="50"/>
      <c r="B4" s="221" t="s">
        <v>50</v>
      </c>
      <c r="C4" s="221"/>
      <c r="D4" s="221"/>
      <c r="E4" s="221"/>
      <c r="F4" s="221"/>
      <c r="G4" s="221"/>
      <c r="H4" s="221"/>
      <c r="I4" s="221"/>
      <c r="J4" s="100"/>
    </row>
    <row r="5" spans="1:10" ht="14" customHeight="1" x14ac:dyDescent="0.35">
      <c r="A5" s="146"/>
      <c r="B5" s="209" t="s">
        <v>195</v>
      </c>
      <c r="C5" s="209"/>
      <c r="D5" s="209" t="s">
        <v>196</v>
      </c>
      <c r="E5" s="209"/>
      <c r="F5" s="209" t="s">
        <v>197</v>
      </c>
      <c r="G5" s="209"/>
      <c r="H5" s="209" t="s">
        <v>198</v>
      </c>
      <c r="I5" s="209"/>
      <c r="J5" s="100"/>
    </row>
    <row r="6" spans="1:10" ht="15.5" customHeight="1" thickBot="1" x14ac:dyDescent="0.4">
      <c r="A6" s="66"/>
      <c r="B6" s="220"/>
      <c r="C6" s="220"/>
      <c r="D6" s="220"/>
      <c r="E6" s="220"/>
      <c r="F6" s="220"/>
      <c r="G6" s="220"/>
      <c r="H6" s="220" t="s">
        <v>393</v>
      </c>
      <c r="I6" s="220"/>
      <c r="J6" s="100"/>
    </row>
    <row r="7" spans="1:10" ht="14" customHeight="1" x14ac:dyDescent="0.35">
      <c r="A7" s="218" t="s">
        <v>156</v>
      </c>
      <c r="B7" s="67"/>
      <c r="C7" s="68" t="s">
        <v>202</v>
      </c>
      <c r="D7" s="67"/>
      <c r="E7" s="79" t="s">
        <v>200</v>
      </c>
      <c r="F7" s="67"/>
      <c r="G7" s="65" t="s">
        <v>234</v>
      </c>
      <c r="H7" s="67"/>
      <c r="I7" s="80" t="s">
        <v>239</v>
      </c>
      <c r="J7" s="100"/>
    </row>
    <row r="8" spans="1:10" x14ac:dyDescent="0.35">
      <c r="A8" s="199"/>
      <c r="B8" s="67"/>
      <c r="C8" s="77">
        <v>-0.14099999999999999</v>
      </c>
      <c r="D8" s="77"/>
      <c r="E8" s="77">
        <v>-0.48</v>
      </c>
      <c r="F8" s="77"/>
      <c r="G8" s="77">
        <v>-0.56599999999999995</v>
      </c>
      <c r="H8" s="77"/>
      <c r="I8" s="77">
        <v>-0.41499999999999998</v>
      </c>
      <c r="J8" s="100"/>
    </row>
    <row r="9" spans="1:10" ht="14" customHeight="1" x14ac:dyDescent="0.35">
      <c r="A9" s="50" t="s">
        <v>199</v>
      </c>
      <c r="B9" s="67"/>
      <c r="C9" s="67"/>
      <c r="D9" s="67"/>
      <c r="E9" s="67"/>
      <c r="F9" s="67"/>
      <c r="G9" s="67"/>
      <c r="H9" s="67"/>
      <c r="I9" s="80"/>
      <c r="J9" s="100"/>
    </row>
    <row r="10" spans="1:10" ht="14" customHeight="1" x14ac:dyDescent="0.35">
      <c r="A10" s="199" t="s">
        <v>161</v>
      </c>
      <c r="B10" s="67"/>
      <c r="C10" s="68"/>
      <c r="D10" s="67"/>
      <c r="E10" s="90">
        <v>8.9999999999999993E-3</v>
      </c>
      <c r="F10" s="90"/>
      <c r="G10" s="90">
        <v>-4.0000000000000001E-3</v>
      </c>
      <c r="H10" s="90"/>
      <c r="I10" s="90">
        <v>-8.9999999999999993E-3</v>
      </c>
      <c r="J10" s="100"/>
    </row>
    <row r="11" spans="1:10" ht="15" customHeight="1" x14ac:dyDescent="0.35">
      <c r="A11" s="199"/>
      <c r="B11" s="65"/>
      <c r="C11" s="77"/>
      <c r="D11" s="65"/>
      <c r="E11" s="81" t="s">
        <v>221</v>
      </c>
      <c r="F11" s="91"/>
      <c r="G11" s="81" t="s">
        <v>220</v>
      </c>
      <c r="H11" s="91"/>
      <c r="I11" s="81" t="s">
        <v>246</v>
      </c>
      <c r="J11" s="100"/>
    </row>
    <row r="12" spans="1:10" ht="14" customHeight="1" x14ac:dyDescent="0.35">
      <c r="A12" s="199" t="s">
        <v>89</v>
      </c>
      <c r="B12" s="67"/>
      <c r="C12" s="67"/>
      <c r="D12" s="67"/>
      <c r="E12" s="90">
        <v>0</v>
      </c>
      <c r="F12" s="67"/>
      <c r="G12" s="90" t="s">
        <v>235</v>
      </c>
      <c r="H12" s="67"/>
      <c r="I12" s="90">
        <v>0</v>
      </c>
      <c r="J12" s="100"/>
    </row>
    <row r="13" spans="1:10" ht="15" customHeight="1" x14ac:dyDescent="0.35">
      <c r="A13" s="199"/>
      <c r="B13" s="65"/>
      <c r="C13" s="65"/>
      <c r="D13" s="65"/>
      <c r="E13" s="81" t="s">
        <v>218</v>
      </c>
      <c r="F13" s="81"/>
      <c r="G13" s="81" t="s">
        <v>222</v>
      </c>
      <c r="H13" s="81"/>
      <c r="I13" s="81" t="s">
        <v>218</v>
      </c>
      <c r="J13" s="100"/>
    </row>
    <row r="14" spans="1:10" ht="14" customHeight="1" x14ac:dyDescent="0.35">
      <c r="A14" s="199" t="s">
        <v>92</v>
      </c>
      <c r="B14" s="67"/>
      <c r="C14" s="67"/>
      <c r="D14" s="67"/>
      <c r="E14" s="90">
        <v>0</v>
      </c>
      <c r="F14" s="67"/>
      <c r="G14" s="90" t="s">
        <v>236</v>
      </c>
      <c r="H14" s="67"/>
      <c r="I14" s="90" t="s">
        <v>247</v>
      </c>
      <c r="J14" s="100"/>
    </row>
    <row r="15" spans="1:10" ht="15.5" customHeight="1" x14ac:dyDescent="0.35">
      <c r="A15" s="199"/>
      <c r="B15" s="65"/>
      <c r="C15" s="65"/>
      <c r="D15" s="65"/>
      <c r="E15" s="69" t="s">
        <v>218</v>
      </c>
      <c r="F15" s="65"/>
      <c r="G15" s="69" t="s">
        <v>218</v>
      </c>
      <c r="H15" s="65"/>
      <c r="I15" s="81" t="s">
        <v>218</v>
      </c>
      <c r="J15" s="100"/>
    </row>
    <row r="16" spans="1:10" ht="14" customHeight="1" x14ac:dyDescent="0.35">
      <c r="A16" s="199" t="s">
        <v>78</v>
      </c>
      <c r="B16" s="67"/>
      <c r="C16" s="67"/>
      <c r="D16" s="67"/>
      <c r="E16" s="90">
        <v>-1.37</v>
      </c>
      <c r="F16" s="67"/>
      <c r="G16" s="90" t="s">
        <v>217</v>
      </c>
      <c r="H16" s="67"/>
      <c r="I16" s="90" t="s">
        <v>248</v>
      </c>
      <c r="J16" s="100"/>
    </row>
    <row r="17" spans="1:10" x14ac:dyDescent="0.35">
      <c r="A17" s="199"/>
      <c r="B17" s="65"/>
      <c r="C17" s="65"/>
      <c r="D17" s="65"/>
      <c r="E17" s="69" t="s">
        <v>219</v>
      </c>
      <c r="F17" s="65"/>
      <c r="G17" s="69" t="s">
        <v>223</v>
      </c>
      <c r="H17" s="65"/>
      <c r="I17" s="81" t="s">
        <v>249</v>
      </c>
      <c r="J17" s="100"/>
    </row>
    <row r="18" spans="1:10" ht="14" customHeight="1" x14ac:dyDescent="0.35">
      <c r="A18" s="50" t="s">
        <v>203</v>
      </c>
      <c r="B18" s="33"/>
      <c r="C18" s="102"/>
      <c r="D18" s="105"/>
      <c r="E18" s="105"/>
      <c r="F18" s="105"/>
      <c r="G18" s="105"/>
      <c r="H18" s="105"/>
      <c r="I18" s="59"/>
      <c r="J18" s="100"/>
    </row>
    <row r="19" spans="1:10" ht="14" customHeight="1" x14ac:dyDescent="0.35">
      <c r="A19" s="199" t="s">
        <v>118</v>
      </c>
      <c r="B19" s="33"/>
      <c r="C19" s="34"/>
      <c r="D19" s="34"/>
      <c r="E19" s="105"/>
      <c r="F19" s="105"/>
      <c r="G19" s="105">
        <v>-0.45100000000000001</v>
      </c>
      <c r="H19" s="105"/>
      <c r="I19" s="105">
        <v>-0.14799999999999999</v>
      </c>
      <c r="J19" s="100"/>
    </row>
    <row r="20" spans="1:10" ht="14" customHeight="1" x14ac:dyDescent="0.35">
      <c r="A20" s="199"/>
      <c r="B20" s="33"/>
      <c r="C20" s="34"/>
      <c r="D20" s="34"/>
      <c r="E20" s="105"/>
      <c r="F20" s="105"/>
      <c r="G20" s="82" t="s">
        <v>224</v>
      </c>
      <c r="H20" s="105"/>
      <c r="I20" s="82" t="s">
        <v>252</v>
      </c>
      <c r="J20" s="100"/>
    </row>
    <row r="21" spans="1:10" ht="14" customHeight="1" x14ac:dyDescent="0.35">
      <c r="A21" s="199" t="s">
        <v>119</v>
      </c>
      <c r="B21" s="33"/>
      <c r="C21" s="34"/>
      <c r="D21" s="34"/>
      <c r="E21" s="105"/>
      <c r="F21" s="105"/>
      <c r="G21" s="105">
        <v>-0.81499999999999995</v>
      </c>
      <c r="H21" s="105"/>
      <c r="I21" s="59" t="s">
        <v>250</v>
      </c>
      <c r="J21" s="100"/>
    </row>
    <row r="22" spans="1:10" x14ac:dyDescent="0.35">
      <c r="A22" s="199"/>
      <c r="B22" s="33"/>
      <c r="C22" s="34"/>
      <c r="D22" s="34"/>
      <c r="E22" s="105"/>
      <c r="F22" s="105"/>
      <c r="G22" s="82" t="s">
        <v>225</v>
      </c>
      <c r="H22" s="105"/>
      <c r="I22" s="82" t="s">
        <v>253</v>
      </c>
      <c r="J22" s="100"/>
    </row>
    <row r="23" spans="1:10" x14ac:dyDescent="0.35">
      <c r="A23" s="199" t="s">
        <v>120</v>
      </c>
      <c r="B23" s="33"/>
      <c r="C23" s="34"/>
      <c r="D23" s="34"/>
      <c r="E23" s="105"/>
      <c r="F23" s="105"/>
      <c r="G23" s="105">
        <v>0.39600000000000002</v>
      </c>
      <c r="H23" s="105"/>
      <c r="I23" s="105">
        <v>-0.13500000000000001</v>
      </c>
      <c r="J23" s="100"/>
    </row>
    <row r="24" spans="1:10" x14ac:dyDescent="0.35">
      <c r="A24" s="199"/>
      <c r="B24" s="33"/>
      <c r="C24" s="34"/>
      <c r="D24" s="34"/>
      <c r="E24" s="105"/>
      <c r="F24" s="105"/>
      <c r="G24" s="82" t="s">
        <v>226</v>
      </c>
      <c r="H24" s="105"/>
      <c r="I24" s="82" t="s">
        <v>254</v>
      </c>
      <c r="J24" s="100"/>
    </row>
    <row r="25" spans="1:10" ht="16" x14ac:dyDescent="0.35">
      <c r="A25" s="199" t="s">
        <v>121</v>
      </c>
      <c r="B25" s="33"/>
      <c r="C25" s="34"/>
      <c r="D25" s="34"/>
      <c r="E25" s="105"/>
      <c r="F25" s="105"/>
      <c r="G25" s="80" t="s">
        <v>237</v>
      </c>
      <c r="H25" s="105"/>
      <c r="I25" s="105" t="s">
        <v>364</v>
      </c>
      <c r="J25" s="100"/>
    </row>
    <row r="26" spans="1:10" x14ac:dyDescent="0.35">
      <c r="A26" s="199"/>
      <c r="B26" s="33"/>
      <c r="C26" s="102"/>
      <c r="D26" s="105"/>
      <c r="E26" s="105"/>
      <c r="F26" s="105"/>
      <c r="G26" s="82" t="s">
        <v>227</v>
      </c>
      <c r="H26" s="105"/>
      <c r="I26" s="82" t="s">
        <v>255</v>
      </c>
      <c r="J26" s="100"/>
    </row>
    <row r="27" spans="1:10" ht="16" x14ac:dyDescent="0.35">
      <c r="A27" s="199" t="s">
        <v>122</v>
      </c>
      <c r="B27" s="38"/>
      <c r="C27" s="102"/>
      <c r="D27" s="105"/>
      <c r="E27" s="105"/>
      <c r="F27" s="105"/>
      <c r="G27" s="105" t="s">
        <v>238</v>
      </c>
      <c r="H27" s="105"/>
      <c r="I27" s="105" t="s">
        <v>251</v>
      </c>
      <c r="J27" s="100"/>
    </row>
    <row r="28" spans="1:10" ht="14" customHeight="1" x14ac:dyDescent="0.35">
      <c r="A28" s="199"/>
      <c r="B28" s="33"/>
      <c r="C28" s="34"/>
      <c r="D28" s="34"/>
      <c r="E28" s="105"/>
      <c r="F28" s="105"/>
      <c r="G28" s="82" t="s">
        <v>228</v>
      </c>
      <c r="H28" s="105"/>
      <c r="I28" s="82" t="s">
        <v>256</v>
      </c>
      <c r="J28" s="100"/>
    </row>
    <row r="29" spans="1:10" ht="14" customHeight="1" x14ac:dyDescent="0.35">
      <c r="A29" s="213" t="s">
        <v>201</v>
      </c>
      <c r="B29" s="54"/>
      <c r="C29" s="78" t="s">
        <v>214</v>
      </c>
      <c r="D29" s="70"/>
      <c r="E29" s="78" t="s">
        <v>214</v>
      </c>
      <c r="F29" s="103"/>
      <c r="G29" s="103">
        <v>54.707000000000001</v>
      </c>
      <c r="H29" s="103"/>
      <c r="I29" s="103" t="s">
        <v>258</v>
      </c>
      <c r="J29" s="100"/>
    </row>
    <row r="30" spans="1:10" x14ac:dyDescent="0.35">
      <c r="A30" s="214"/>
      <c r="B30" s="72"/>
      <c r="C30" s="37">
        <v>-0.13700000000000001</v>
      </c>
      <c r="D30" s="73"/>
      <c r="E30" s="82" t="s">
        <v>229</v>
      </c>
      <c r="F30" s="74"/>
      <c r="G30" s="82" t="s">
        <v>229</v>
      </c>
      <c r="H30" s="74"/>
      <c r="I30" s="82" t="s">
        <v>257</v>
      </c>
      <c r="J30" s="100"/>
    </row>
    <row r="31" spans="1:10" x14ac:dyDescent="0.35">
      <c r="A31" s="33" t="s">
        <v>204</v>
      </c>
      <c r="B31" s="217">
        <v>2318</v>
      </c>
      <c r="C31" s="217"/>
      <c r="D31" s="216">
        <v>2318</v>
      </c>
      <c r="E31" s="216"/>
      <c r="F31" s="216">
        <v>2318</v>
      </c>
      <c r="G31" s="216"/>
      <c r="H31" s="216">
        <v>1838</v>
      </c>
      <c r="I31" s="216"/>
      <c r="J31" s="100"/>
    </row>
    <row r="32" spans="1:10" ht="16.5" x14ac:dyDescent="0.35">
      <c r="A32" s="54" t="s">
        <v>205</v>
      </c>
      <c r="B32" s="211">
        <v>1E-3</v>
      </c>
      <c r="C32" s="211"/>
      <c r="D32" s="212">
        <v>3.3000000000000002E-2</v>
      </c>
      <c r="E32" s="212"/>
      <c r="F32" s="212">
        <v>4.9000000000000002E-2</v>
      </c>
      <c r="G32" s="212"/>
      <c r="H32" s="212">
        <v>0.114</v>
      </c>
      <c r="I32" s="212"/>
      <c r="J32" s="100"/>
    </row>
    <row r="33" spans="1:10" ht="14" customHeight="1" x14ac:dyDescent="0.35">
      <c r="A33" s="54" t="s">
        <v>206</v>
      </c>
      <c r="B33" s="211">
        <v>0</v>
      </c>
      <c r="C33" s="211"/>
      <c r="D33" s="212">
        <v>3.1E-2</v>
      </c>
      <c r="E33" s="212"/>
      <c r="F33" s="212">
        <v>4.4999999999999998E-2</v>
      </c>
      <c r="G33" s="212"/>
      <c r="H33" s="212">
        <v>0.109</v>
      </c>
      <c r="I33" s="212"/>
      <c r="J33" s="100"/>
    </row>
    <row r="34" spans="1:10" x14ac:dyDescent="0.35">
      <c r="A34" s="104" t="s">
        <v>216</v>
      </c>
      <c r="B34" s="211" t="s">
        <v>215</v>
      </c>
      <c r="C34" s="211"/>
      <c r="D34" s="211" t="s">
        <v>233</v>
      </c>
      <c r="E34" s="211"/>
      <c r="F34" s="211" t="s">
        <v>230</v>
      </c>
      <c r="G34" s="211"/>
      <c r="H34" s="211" t="s">
        <v>215</v>
      </c>
      <c r="I34" s="211"/>
      <c r="J34" s="100"/>
    </row>
    <row r="35" spans="1:10" x14ac:dyDescent="0.35">
      <c r="A35" s="213" t="s">
        <v>207</v>
      </c>
      <c r="B35" s="211" t="s">
        <v>208</v>
      </c>
      <c r="C35" s="211"/>
      <c r="D35" s="211" t="s">
        <v>210</v>
      </c>
      <c r="E35" s="211"/>
      <c r="F35" s="211" t="s">
        <v>231</v>
      </c>
      <c r="G35" s="211"/>
      <c r="H35" s="211" t="s">
        <v>213</v>
      </c>
      <c r="I35" s="211"/>
      <c r="J35" s="100"/>
    </row>
    <row r="36" spans="1:10" ht="14.5" customHeight="1" x14ac:dyDescent="0.35">
      <c r="A36" s="214"/>
      <c r="B36" s="210" t="s">
        <v>209</v>
      </c>
      <c r="C36" s="210"/>
      <c r="D36" s="210" t="s">
        <v>211</v>
      </c>
      <c r="E36" s="210"/>
      <c r="F36" s="210" t="s">
        <v>232</v>
      </c>
      <c r="G36" s="210"/>
      <c r="H36" s="210" t="s">
        <v>212</v>
      </c>
      <c r="I36" s="210"/>
      <c r="J36" s="100"/>
    </row>
    <row r="37" spans="1:10" ht="14.5" customHeight="1" x14ac:dyDescent="0.35">
      <c r="A37" s="53" t="s">
        <v>186</v>
      </c>
      <c r="B37" s="196" t="s">
        <v>187</v>
      </c>
      <c r="C37" s="197"/>
      <c r="D37" s="197"/>
      <c r="E37" s="197"/>
      <c r="F37" s="197"/>
      <c r="G37" s="197"/>
      <c r="H37" s="197"/>
      <c r="I37" s="197"/>
      <c r="J37" s="100"/>
    </row>
    <row r="38" spans="1:10" x14ac:dyDescent="0.35">
      <c r="A38" s="206" t="s">
        <v>390</v>
      </c>
      <c r="B38" s="206"/>
      <c r="C38" s="206"/>
      <c r="D38" s="206"/>
      <c r="E38" s="206"/>
      <c r="F38" s="206"/>
      <c r="G38" s="206"/>
      <c r="H38" s="206"/>
      <c r="I38" s="206"/>
    </row>
    <row r="39" spans="1:10" x14ac:dyDescent="0.35">
      <c r="I39" t="s">
        <v>245</v>
      </c>
    </row>
  </sheetData>
  <mergeCells count="49">
    <mergeCell ref="B33:C33"/>
    <mergeCell ref="A29:A30"/>
    <mergeCell ref="B37:I37"/>
    <mergeCell ref="B3:H3"/>
    <mergeCell ref="H6:I6"/>
    <mergeCell ref="F6:G6"/>
    <mergeCell ref="B6:C6"/>
    <mergeCell ref="D6:E6"/>
    <mergeCell ref="B4:I4"/>
    <mergeCell ref="B35:C35"/>
    <mergeCell ref="D35:E35"/>
    <mergeCell ref="F35:G35"/>
    <mergeCell ref="B32:C32"/>
    <mergeCell ref="D31:E31"/>
    <mergeCell ref="F31:G31"/>
    <mergeCell ref="D32:E32"/>
    <mergeCell ref="F32:G32"/>
    <mergeCell ref="F36:G36"/>
    <mergeCell ref="A2:I2"/>
    <mergeCell ref="H31:I31"/>
    <mergeCell ref="H32:I32"/>
    <mergeCell ref="H33:I33"/>
    <mergeCell ref="B31:C31"/>
    <mergeCell ref="A7:A8"/>
    <mergeCell ref="A19:A20"/>
    <mergeCell ref="A21:A22"/>
    <mergeCell ref="A23:A24"/>
    <mergeCell ref="A25:A26"/>
    <mergeCell ref="A10:A11"/>
    <mergeCell ref="A12:A13"/>
    <mergeCell ref="A14:A15"/>
    <mergeCell ref="A16:A17"/>
    <mergeCell ref="A27:A28"/>
    <mergeCell ref="A38:I38"/>
    <mergeCell ref="B5:C5"/>
    <mergeCell ref="D5:E5"/>
    <mergeCell ref="F5:G5"/>
    <mergeCell ref="H5:I5"/>
    <mergeCell ref="H36:I36"/>
    <mergeCell ref="B34:C34"/>
    <mergeCell ref="D34:E34"/>
    <mergeCell ref="F34:G34"/>
    <mergeCell ref="H34:I34"/>
    <mergeCell ref="H35:I35"/>
    <mergeCell ref="D33:E33"/>
    <mergeCell ref="F33:G33"/>
    <mergeCell ref="B36:C36"/>
    <mergeCell ref="A35:A36"/>
    <mergeCell ref="D36:E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B220-EA6E-47DE-86C5-2D18C163C872}">
  <dimension ref="A1:R29"/>
  <sheetViews>
    <sheetView zoomScale="90" zoomScaleNormal="90" workbookViewId="0">
      <selection activeCell="A28" sqref="A2:E28"/>
    </sheetView>
  </sheetViews>
  <sheetFormatPr baseColWidth="10" defaultRowHeight="14.5" x14ac:dyDescent="0.35"/>
  <cols>
    <col min="1" max="1" width="17.90625" customWidth="1"/>
    <col min="2" max="2" width="4.6328125" customWidth="1"/>
    <col min="4" max="4" width="4.54296875" customWidth="1"/>
  </cols>
  <sheetData>
    <row r="1" spans="1:18" x14ac:dyDescent="0.35">
      <c r="A1" t="s">
        <v>189</v>
      </c>
      <c r="F1" s="100"/>
    </row>
    <row r="2" spans="1:18" x14ac:dyDescent="0.35">
      <c r="A2" s="215" t="s">
        <v>386</v>
      </c>
      <c r="B2" s="215"/>
      <c r="C2" s="215"/>
      <c r="D2" s="215"/>
      <c r="E2" s="215"/>
      <c r="F2" s="100"/>
    </row>
    <row r="3" spans="1:18" ht="15" thickBot="1" x14ac:dyDescent="0.4">
      <c r="A3" s="43"/>
      <c r="B3" s="219" t="s">
        <v>194</v>
      </c>
      <c r="C3" s="219"/>
      <c r="D3" s="219"/>
      <c r="E3" s="219"/>
      <c r="F3" s="100"/>
    </row>
    <row r="4" spans="1:18" ht="18.5" customHeight="1" x14ac:dyDescent="0.35">
      <c r="A4" s="50"/>
      <c r="B4" s="221" t="s">
        <v>312</v>
      </c>
      <c r="C4" s="221"/>
      <c r="D4" s="221"/>
      <c r="E4" s="221"/>
      <c r="F4" s="100"/>
    </row>
    <row r="5" spans="1:18" ht="14" customHeight="1" thickBot="1" x14ac:dyDescent="0.4">
      <c r="A5" s="66"/>
      <c r="B5" s="220" t="s">
        <v>195</v>
      </c>
      <c r="C5" s="220"/>
      <c r="D5" s="220" t="s">
        <v>196</v>
      </c>
      <c r="E5" s="220"/>
      <c r="F5" s="100"/>
    </row>
    <row r="6" spans="1:18" ht="14" customHeight="1" x14ac:dyDescent="0.35">
      <c r="A6" s="218" t="s">
        <v>313</v>
      </c>
      <c r="B6" s="67"/>
      <c r="C6" s="68" t="s">
        <v>319</v>
      </c>
      <c r="D6" s="67"/>
      <c r="E6" s="68" t="s">
        <v>345</v>
      </c>
      <c r="F6" s="100"/>
    </row>
    <row r="7" spans="1:18" ht="14" customHeight="1" x14ac:dyDescent="0.35">
      <c r="A7" s="199"/>
      <c r="B7" s="67"/>
      <c r="C7" s="81" t="s">
        <v>320</v>
      </c>
      <c r="D7" s="77"/>
      <c r="E7" s="81" t="s">
        <v>346</v>
      </c>
      <c r="F7" s="100"/>
    </row>
    <row r="8" spans="1:18" ht="14" customHeight="1" x14ac:dyDescent="0.35">
      <c r="A8" s="226" t="s">
        <v>314</v>
      </c>
      <c r="B8" s="67"/>
      <c r="C8" s="65" t="s">
        <v>321</v>
      </c>
      <c r="D8" s="77"/>
      <c r="E8" s="81" t="s">
        <v>347</v>
      </c>
      <c r="F8" s="100"/>
    </row>
    <row r="9" spans="1:18" x14ac:dyDescent="0.35">
      <c r="A9" s="226"/>
      <c r="B9" s="67"/>
      <c r="C9" s="81" t="s">
        <v>322</v>
      </c>
      <c r="D9" s="67"/>
      <c r="E9" s="82" t="s">
        <v>348</v>
      </c>
      <c r="F9" s="100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</row>
    <row r="10" spans="1:18" ht="14" customHeight="1" x14ac:dyDescent="0.35">
      <c r="A10" s="227" t="s">
        <v>315</v>
      </c>
      <c r="B10" s="67"/>
      <c r="C10" s="65" t="s">
        <v>324</v>
      </c>
      <c r="D10" s="67"/>
      <c r="E10" s="90" t="s">
        <v>335</v>
      </c>
      <c r="F10" s="100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</row>
    <row r="11" spans="1:18" ht="14" customHeight="1" x14ac:dyDescent="0.35">
      <c r="A11" s="227"/>
      <c r="B11" s="65"/>
      <c r="C11" s="81" t="s">
        <v>325</v>
      </c>
      <c r="D11" s="65"/>
      <c r="E11" s="81" t="s">
        <v>336</v>
      </c>
      <c r="F11" s="100"/>
      <c r="G11" s="225"/>
      <c r="H11" s="225"/>
      <c r="I11" s="225"/>
      <c r="J11" s="225"/>
      <c r="K11" s="98"/>
      <c r="L11" s="98"/>
      <c r="M11" s="98"/>
      <c r="N11" s="98"/>
      <c r="O11" s="97"/>
      <c r="P11" s="97"/>
      <c r="Q11" s="97"/>
      <c r="R11" s="97"/>
    </row>
    <row r="12" spans="1:18" ht="15" customHeight="1" x14ac:dyDescent="0.35">
      <c r="A12" s="199" t="s">
        <v>316</v>
      </c>
      <c r="B12" s="67"/>
      <c r="C12" s="65" t="s">
        <v>326</v>
      </c>
      <c r="D12" s="67"/>
      <c r="E12" s="90" t="s">
        <v>349</v>
      </c>
      <c r="F12" s="100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</row>
    <row r="13" spans="1:18" ht="14" customHeight="1" x14ac:dyDescent="0.35">
      <c r="A13" s="199"/>
      <c r="B13" s="65"/>
      <c r="C13" s="65" t="s">
        <v>327</v>
      </c>
      <c r="D13" s="65"/>
      <c r="E13" s="81" t="s">
        <v>350</v>
      </c>
      <c r="F13" s="100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</row>
    <row r="14" spans="1:18" ht="14" customHeight="1" x14ac:dyDescent="0.35">
      <c r="A14" s="226" t="s">
        <v>331</v>
      </c>
      <c r="B14" s="65"/>
      <c r="C14" s="65" t="s">
        <v>323</v>
      </c>
      <c r="D14" s="65"/>
      <c r="E14" s="81" t="s">
        <v>351</v>
      </c>
      <c r="F14" s="100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</row>
    <row r="15" spans="1:18" ht="14" customHeight="1" x14ac:dyDescent="0.35">
      <c r="A15" s="226"/>
      <c r="B15" s="65"/>
      <c r="C15" s="81" t="s">
        <v>322</v>
      </c>
      <c r="D15" s="65"/>
      <c r="E15" s="81" t="s">
        <v>352</v>
      </c>
      <c r="F15" s="100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</row>
    <row r="16" spans="1:18" ht="15" customHeight="1" x14ac:dyDescent="0.35">
      <c r="A16" s="199" t="s">
        <v>57</v>
      </c>
      <c r="B16" s="67"/>
      <c r="C16" s="65" t="s">
        <v>328</v>
      </c>
      <c r="D16" s="67"/>
      <c r="E16" s="90">
        <v>0.52800000000000002</v>
      </c>
      <c r="F16" s="100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</row>
    <row r="17" spans="1:18" ht="14" customHeight="1" x14ac:dyDescent="0.35">
      <c r="A17" s="199"/>
      <c r="B17" s="65"/>
      <c r="C17" s="81" t="s">
        <v>329</v>
      </c>
      <c r="D17" s="65"/>
      <c r="E17" s="69" t="s">
        <v>344</v>
      </c>
      <c r="F17" s="100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</row>
    <row r="18" spans="1:18" ht="15.5" customHeight="1" x14ac:dyDescent="0.35">
      <c r="A18" s="199" t="s">
        <v>58</v>
      </c>
      <c r="B18" s="67"/>
      <c r="C18" s="84">
        <v>0.21199999999999999</v>
      </c>
      <c r="D18" s="67"/>
      <c r="E18" s="65" t="s">
        <v>342</v>
      </c>
      <c r="F18" s="100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</row>
    <row r="19" spans="1:18" ht="14" customHeight="1" x14ac:dyDescent="0.35">
      <c r="A19" s="199"/>
      <c r="B19" s="65"/>
      <c r="C19" s="81" t="s">
        <v>332</v>
      </c>
      <c r="D19" s="65"/>
      <c r="E19" s="69" t="s">
        <v>343</v>
      </c>
      <c r="F19" s="100"/>
      <c r="G19" s="97"/>
      <c r="H19" s="97"/>
      <c r="I19" s="97"/>
      <c r="J19" s="224"/>
      <c r="K19" s="224"/>
      <c r="L19" s="224"/>
      <c r="M19" s="224"/>
      <c r="N19" s="224"/>
      <c r="O19" s="97"/>
      <c r="P19" s="97"/>
      <c r="Q19" s="97"/>
      <c r="R19" s="97"/>
    </row>
    <row r="20" spans="1:18" ht="14" customHeight="1" x14ac:dyDescent="0.35">
      <c r="A20" s="199" t="s">
        <v>59</v>
      </c>
      <c r="B20" s="33"/>
      <c r="C20" s="84" t="s">
        <v>333</v>
      </c>
      <c r="D20" s="34"/>
      <c r="E20" s="84" t="s">
        <v>340</v>
      </c>
      <c r="F20" s="100"/>
      <c r="G20" s="97"/>
      <c r="H20" s="97"/>
      <c r="I20" s="97"/>
      <c r="J20" s="224"/>
      <c r="K20" s="224"/>
      <c r="L20" s="224"/>
      <c r="M20" s="224"/>
      <c r="N20" s="224"/>
      <c r="O20" s="97"/>
      <c r="P20" s="97"/>
      <c r="Q20" s="97"/>
      <c r="R20" s="97"/>
    </row>
    <row r="21" spans="1:18" ht="14" customHeight="1" x14ac:dyDescent="0.35">
      <c r="A21" s="199"/>
      <c r="B21" s="33"/>
      <c r="C21" s="82" t="s">
        <v>330</v>
      </c>
      <c r="D21" s="34"/>
      <c r="E21" s="99" t="s">
        <v>341</v>
      </c>
      <c r="F21" s="100"/>
      <c r="G21" s="97"/>
      <c r="H21" s="97"/>
      <c r="I21" s="97"/>
      <c r="J21" s="224"/>
      <c r="K21" s="224"/>
      <c r="L21" s="224"/>
      <c r="M21" s="224"/>
      <c r="N21" s="224"/>
      <c r="O21" s="97"/>
      <c r="P21" s="97"/>
      <c r="Q21" s="97"/>
      <c r="R21" s="97"/>
    </row>
    <row r="22" spans="1:18" ht="14" customHeight="1" x14ac:dyDescent="0.35">
      <c r="A22" s="199" t="s">
        <v>337</v>
      </c>
      <c r="B22" s="33"/>
      <c r="C22" s="84">
        <v>0.30299999999999999</v>
      </c>
      <c r="D22" s="34"/>
      <c r="E22" s="84" t="s">
        <v>338</v>
      </c>
      <c r="F22" s="100"/>
      <c r="G22" s="97"/>
      <c r="H22" s="97"/>
      <c r="I22" s="97"/>
      <c r="J22" s="224"/>
      <c r="K22" s="224"/>
      <c r="L22" s="224"/>
      <c r="M22" s="224"/>
      <c r="N22" s="224"/>
      <c r="O22" s="97"/>
      <c r="P22" s="97"/>
      <c r="Q22" s="97"/>
      <c r="R22" s="97"/>
    </row>
    <row r="23" spans="1:18" ht="14" customHeight="1" x14ac:dyDescent="0.35">
      <c r="A23" s="199"/>
      <c r="B23" s="33"/>
      <c r="C23" s="81" t="s">
        <v>334</v>
      </c>
      <c r="D23" s="34"/>
      <c r="E23" s="81" t="s">
        <v>339</v>
      </c>
      <c r="F23" s="100"/>
      <c r="G23" s="97"/>
      <c r="H23" s="97"/>
      <c r="I23" s="97"/>
      <c r="J23" s="224"/>
      <c r="K23" s="224"/>
      <c r="L23" s="224"/>
      <c r="M23" s="224"/>
      <c r="N23" s="224"/>
      <c r="O23" s="97"/>
      <c r="P23" s="97"/>
      <c r="Q23" s="97"/>
      <c r="R23" s="97"/>
    </row>
    <row r="24" spans="1:18" x14ac:dyDescent="0.35">
      <c r="A24" s="199" t="s">
        <v>317</v>
      </c>
      <c r="B24" s="33"/>
      <c r="C24" s="34"/>
      <c r="D24" s="34"/>
      <c r="E24" s="226" t="s">
        <v>318</v>
      </c>
      <c r="F24" s="100"/>
      <c r="G24" s="97"/>
      <c r="H24" s="97"/>
      <c r="I24" s="97"/>
      <c r="J24" s="224"/>
      <c r="K24" s="224"/>
      <c r="L24" s="224"/>
      <c r="M24" s="224"/>
      <c r="N24" s="224"/>
      <c r="O24" s="97"/>
      <c r="P24" s="97"/>
      <c r="Q24" s="97"/>
      <c r="R24" s="97"/>
    </row>
    <row r="25" spans="1:18" x14ac:dyDescent="0.35">
      <c r="A25" s="199"/>
      <c r="B25" s="33"/>
      <c r="C25" s="34"/>
      <c r="D25" s="34"/>
      <c r="E25" s="226"/>
      <c r="F25" s="100"/>
      <c r="G25" s="97"/>
      <c r="H25" s="97"/>
      <c r="I25" s="97"/>
      <c r="J25" s="224"/>
      <c r="K25" s="224"/>
      <c r="L25" s="224"/>
      <c r="M25" s="224"/>
      <c r="N25" s="224"/>
      <c r="O25" s="97"/>
      <c r="P25" s="97"/>
      <c r="Q25" s="97"/>
      <c r="R25" s="97"/>
    </row>
    <row r="26" spans="1:18" x14ac:dyDescent="0.35">
      <c r="A26" s="33" t="s">
        <v>204</v>
      </c>
      <c r="B26" s="217">
        <v>2308</v>
      </c>
      <c r="C26" s="217"/>
      <c r="D26" s="217">
        <v>2308</v>
      </c>
      <c r="E26" s="217"/>
      <c r="F26" s="100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</row>
    <row r="27" spans="1:18" ht="14.5" customHeight="1" x14ac:dyDescent="0.35">
      <c r="A27" s="53" t="s">
        <v>186</v>
      </c>
      <c r="B27" s="222" t="s">
        <v>187</v>
      </c>
      <c r="C27" s="223"/>
      <c r="D27" s="223"/>
      <c r="E27" s="223"/>
      <c r="F27" s="100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</row>
    <row r="28" spans="1:18" x14ac:dyDescent="0.35">
      <c r="A28" s="206" t="s">
        <v>390</v>
      </c>
      <c r="B28" s="206"/>
      <c r="C28" s="206"/>
      <c r="D28" s="206"/>
      <c r="E28" s="206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</row>
    <row r="29" spans="1:18" x14ac:dyDescent="0.35">
      <c r="A29" s="100"/>
      <c r="B29" s="100"/>
      <c r="C29" s="100"/>
      <c r="D29" s="100"/>
      <c r="E29" s="100"/>
    </row>
  </sheetData>
  <mergeCells count="28">
    <mergeCell ref="A6:A7"/>
    <mergeCell ref="A10:A11"/>
    <mergeCell ref="A2:E2"/>
    <mergeCell ref="B3:E3"/>
    <mergeCell ref="B4:E4"/>
    <mergeCell ref="B5:C5"/>
    <mergeCell ref="D5:E5"/>
    <mergeCell ref="G11:J11"/>
    <mergeCell ref="A12:A13"/>
    <mergeCell ref="A16:A17"/>
    <mergeCell ref="E24:E25"/>
    <mergeCell ref="A8:A9"/>
    <mergeCell ref="A14:A15"/>
    <mergeCell ref="A20:A21"/>
    <mergeCell ref="A22:A23"/>
    <mergeCell ref="A24:A25"/>
    <mergeCell ref="A18:A19"/>
    <mergeCell ref="A28:E28"/>
    <mergeCell ref="B27:E27"/>
    <mergeCell ref="J19:N19"/>
    <mergeCell ref="J20:N20"/>
    <mergeCell ref="J21:N21"/>
    <mergeCell ref="J22:N22"/>
    <mergeCell ref="J23:N23"/>
    <mergeCell ref="J24:N24"/>
    <mergeCell ref="J25:N25"/>
    <mergeCell ref="B26:C26"/>
    <mergeCell ref="D26:E2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E474-03F4-4E25-8790-86FA73938BA5}">
  <dimension ref="A1:S39"/>
  <sheetViews>
    <sheetView topLeftCell="A14" zoomScale="70" zoomScaleNormal="70" workbookViewId="0">
      <selection activeCell="A2" sqref="A2:I38"/>
    </sheetView>
  </sheetViews>
  <sheetFormatPr baseColWidth="10" defaultRowHeight="14.5" x14ac:dyDescent="0.35"/>
  <cols>
    <col min="1" max="1" width="17.90625" customWidth="1"/>
    <col min="2" max="2" width="4.6328125" customWidth="1"/>
    <col min="4" max="4" width="4.54296875" customWidth="1"/>
    <col min="6" max="6" width="4.54296875" customWidth="1"/>
    <col min="8" max="8" width="4.54296875" customWidth="1"/>
    <col min="9" max="9" width="10.90625" customWidth="1"/>
  </cols>
  <sheetData>
    <row r="1" spans="1:19" x14ac:dyDescent="0.35">
      <c r="A1" t="s">
        <v>189</v>
      </c>
      <c r="J1" s="100"/>
    </row>
    <row r="2" spans="1:19" x14ac:dyDescent="0.35">
      <c r="A2" s="215" t="s">
        <v>388</v>
      </c>
      <c r="B2" s="215"/>
      <c r="C2" s="215"/>
      <c r="D2" s="215"/>
      <c r="E2" s="215"/>
      <c r="F2" s="215"/>
      <c r="G2" s="215"/>
      <c r="H2" s="215"/>
      <c r="I2" s="215"/>
      <c r="J2" s="100"/>
    </row>
    <row r="3" spans="1:19" ht="15" thickBot="1" x14ac:dyDescent="0.4">
      <c r="A3" s="43"/>
      <c r="B3" s="219" t="s">
        <v>194</v>
      </c>
      <c r="C3" s="219"/>
      <c r="D3" s="219"/>
      <c r="E3" s="219"/>
      <c r="F3" s="219"/>
      <c r="G3" s="219"/>
      <c r="H3" s="219"/>
      <c r="I3" s="64"/>
      <c r="J3" s="100"/>
    </row>
    <row r="4" spans="1:19" ht="18.5" customHeight="1" x14ac:dyDescent="0.35">
      <c r="A4" s="50"/>
      <c r="B4" s="221" t="s">
        <v>298</v>
      </c>
      <c r="C4" s="221"/>
      <c r="D4" s="221"/>
      <c r="E4" s="221"/>
      <c r="F4" s="221"/>
      <c r="G4" s="221"/>
      <c r="H4" s="221"/>
      <c r="I4" s="221"/>
      <c r="J4" s="100"/>
    </row>
    <row r="5" spans="1:19" ht="14" customHeight="1" x14ac:dyDescent="0.35">
      <c r="A5" s="50"/>
      <c r="B5" s="209" t="s">
        <v>195</v>
      </c>
      <c r="C5" s="209"/>
      <c r="D5" s="209" t="s">
        <v>196</v>
      </c>
      <c r="E5" s="209"/>
      <c r="F5" s="209" t="s">
        <v>197</v>
      </c>
      <c r="G5" s="209"/>
      <c r="H5" s="209" t="s">
        <v>198</v>
      </c>
      <c r="I5" s="209"/>
      <c r="J5" s="100"/>
      <c r="K5" s="23"/>
      <c r="L5" s="23"/>
      <c r="M5" s="23"/>
      <c r="N5" s="23"/>
      <c r="O5" s="23"/>
      <c r="P5" s="23"/>
      <c r="Q5" s="23"/>
      <c r="R5" s="23"/>
      <c r="S5" s="23"/>
    </row>
    <row r="6" spans="1:19" ht="13.5" customHeight="1" thickBot="1" x14ac:dyDescent="0.4">
      <c r="A6" s="66"/>
      <c r="B6" s="220"/>
      <c r="C6" s="220"/>
      <c r="D6" s="220"/>
      <c r="E6" s="220"/>
      <c r="F6" s="220"/>
      <c r="G6" s="220"/>
      <c r="H6" s="220" t="s">
        <v>393</v>
      </c>
      <c r="I6" s="220"/>
      <c r="J6" s="100"/>
      <c r="K6" s="23"/>
      <c r="L6" s="23"/>
      <c r="M6" s="23"/>
      <c r="N6" s="23"/>
      <c r="O6" s="23"/>
      <c r="P6" s="23"/>
      <c r="Q6" s="23"/>
      <c r="R6" s="23"/>
      <c r="S6" s="23"/>
    </row>
    <row r="7" spans="1:19" ht="14" customHeight="1" x14ac:dyDescent="0.35">
      <c r="A7" s="218" t="s">
        <v>156</v>
      </c>
      <c r="B7" s="67"/>
      <c r="C7" s="68" t="s">
        <v>260</v>
      </c>
      <c r="D7" s="67"/>
      <c r="E7" s="68" t="s">
        <v>269</v>
      </c>
      <c r="F7" s="67"/>
      <c r="G7" s="65" t="s">
        <v>277</v>
      </c>
      <c r="H7" s="67"/>
      <c r="I7" s="80" t="s">
        <v>293</v>
      </c>
      <c r="J7" s="100"/>
      <c r="K7" s="23"/>
      <c r="L7" s="23"/>
      <c r="M7" s="23"/>
      <c r="N7" s="23"/>
      <c r="O7" s="23"/>
      <c r="P7" s="23"/>
      <c r="Q7" s="23"/>
      <c r="R7" s="23"/>
      <c r="S7" s="23"/>
    </row>
    <row r="8" spans="1:19" x14ac:dyDescent="0.35">
      <c r="A8" s="199"/>
      <c r="B8" s="67"/>
      <c r="C8" s="81" t="s">
        <v>259</v>
      </c>
      <c r="D8" s="77"/>
      <c r="E8" s="81" t="s">
        <v>291</v>
      </c>
      <c r="F8" s="81"/>
      <c r="G8" s="81" t="s">
        <v>278</v>
      </c>
      <c r="H8" s="81"/>
      <c r="I8" s="81" t="s">
        <v>292</v>
      </c>
      <c r="J8" s="100"/>
      <c r="K8" s="23"/>
      <c r="L8" s="23"/>
      <c r="M8" s="23"/>
      <c r="N8" s="23"/>
      <c r="O8" s="23"/>
      <c r="P8" s="23"/>
      <c r="Q8" s="23"/>
      <c r="R8" s="23"/>
      <c r="S8" s="23"/>
    </row>
    <row r="9" spans="1:19" ht="14" customHeight="1" x14ac:dyDescent="0.35">
      <c r="A9" s="50" t="s">
        <v>199</v>
      </c>
      <c r="B9" s="67"/>
      <c r="C9" s="67"/>
      <c r="D9" s="67"/>
      <c r="E9" s="67"/>
      <c r="F9" s="67"/>
      <c r="G9" s="67"/>
      <c r="H9" s="67"/>
      <c r="I9" s="80"/>
      <c r="J9" s="100"/>
      <c r="K9" s="23"/>
      <c r="L9" s="23"/>
      <c r="M9" s="23"/>
      <c r="N9" s="23"/>
      <c r="O9" s="23"/>
      <c r="P9" s="23"/>
      <c r="Q9" s="23"/>
      <c r="R9" s="23"/>
      <c r="S9" s="23"/>
    </row>
    <row r="10" spans="1:19" ht="14" customHeight="1" x14ac:dyDescent="0.35">
      <c r="A10" s="199" t="s">
        <v>161</v>
      </c>
      <c r="B10" s="67"/>
      <c r="C10" s="68"/>
      <c r="D10" s="67"/>
      <c r="E10" s="90">
        <v>-5.1159999999999997</v>
      </c>
      <c r="F10" s="90" t="s">
        <v>0</v>
      </c>
      <c r="G10" s="90">
        <v>-15.984999999999999</v>
      </c>
      <c r="H10" s="90"/>
      <c r="I10" s="90">
        <v>-17.995999999999999</v>
      </c>
      <c r="J10" s="100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15" customHeight="1" x14ac:dyDescent="0.35">
      <c r="A11" s="199"/>
      <c r="B11" s="65"/>
      <c r="C11" s="77"/>
      <c r="D11" s="65"/>
      <c r="E11" s="81" t="s">
        <v>266</v>
      </c>
      <c r="F11" s="91"/>
      <c r="G11" s="81" t="s">
        <v>279</v>
      </c>
      <c r="H11" s="91"/>
      <c r="I11" s="81" t="s">
        <v>246</v>
      </c>
      <c r="J11" s="100"/>
      <c r="K11" s="23"/>
      <c r="L11" s="23"/>
      <c r="M11" s="23"/>
      <c r="N11" s="23"/>
      <c r="O11" s="23"/>
      <c r="P11" s="23"/>
      <c r="Q11" s="23"/>
      <c r="R11" s="23"/>
      <c r="S11" s="23"/>
    </row>
    <row r="12" spans="1:19" ht="14" customHeight="1" x14ac:dyDescent="0.35">
      <c r="A12" s="199" t="s">
        <v>89</v>
      </c>
      <c r="B12" s="67"/>
      <c r="C12" s="67"/>
      <c r="D12" s="67"/>
      <c r="E12" s="90">
        <v>-2E-3</v>
      </c>
      <c r="F12" s="67"/>
      <c r="G12" s="90" t="s">
        <v>282</v>
      </c>
      <c r="H12" s="67"/>
      <c r="I12" s="90">
        <v>4.0000000000000001E-3</v>
      </c>
      <c r="J12" s="100"/>
    </row>
    <row r="13" spans="1:19" ht="15" customHeight="1" x14ac:dyDescent="0.35">
      <c r="A13" s="199"/>
      <c r="B13" s="65"/>
      <c r="C13" s="65"/>
      <c r="D13" s="65"/>
      <c r="E13" s="81" t="s">
        <v>267</v>
      </c>
      <c r="F13" s="81"/>
      <c r="G13" s="81" t="s">
        <v>222</v>
      </c>
      <c r="H13" s="81"/>
      <c r="I13" s="81" t="s">
        <v>294</v>
      </c>
      <c r="J13" s="100"/>
    </row>
    <row r="14" spans="1:19" ht="14" customHeight="1" x14ac:dyDescent="0.35">
      <c r="A14" s="199" t="s">
        <v>92</v>
      </c>
      <c r="B14" s="67"/>
      <c r="C14" s="67"/>
      <c r="D14" s="67"/>
      <c r="E14" s="90" t="s">
        <v>236</v>
      </c>
      <c r="F14" s="67"/>
      <c r="G14" s="90" t="s">
        <v>280</v>
      </c>
      <c r="H14" s="67"/>
      <c r="I14" s="90" t="s">
        <v>295</v>
      </c>
      <c r="J14" s="100"/>
    </row>
    <row r="15" spans="1:19" ht="15.5" customHeight="1" x14ac:dyDescent="0.35">
      <c r="A15" s="199"/>
      <c r="B15" s="65"/>
      <c r="C15" s="65"/>
      <c r="D15" s="65"/>
      <c r="E15" s="69" t="s">
        <v>218</v>
      </c>
      <c r="F15" s="65"/>
      <c r="G15" s="69" t="s">
        <v>281</v>
      </c>
      <c r="H15" s="65"/>
      <c r="I15" s="81" t="s">
        <v>296</v>
      </c>
      <c r="J15" s="100"/>
    </row>
    <row r="16" spans="1:19" ht="14" customHeight="1" x14ac:dyDescent="0.35">
      <c r="A16" s="199" t="s">
        <v>78</v>
      </c>
      <c r="B16" s="67"/>
      <c r="C16" s="67"/>
      <c r="D16" s="67"/>
      <c r="E16" s="65" t="s">
        <v>270</v>
      </c>
      <c r="F16" s="67"/>
      <c r="G16" s="80">
        <v>919.81200000000001</v>
      </c>
      <c r="H16" s="67"/>
      <c r="I16" s="90">
        <v>200.864</v>
      </c>
      <c r="J16" s="100"/>
    </row>
    <row r="17" spans="1:10" x14ac:dyDescent="0.35">
      <c r="A17" s="199"/>
      <c r="B17" s="65"/>
      <c r="C17" s="65"/>
      <c r="D17" s="65"/>
      <c r="E17" s="69" t="s">
        <v>268</v>
      </c>
      <c r="F17" s="65"/>
      <c r="G17" s="69" t="s">
        <v>223</v>
      </c>
      <c r="H17" s="65"/>
      <c r="I17" s="81" t="s">
        <v>297</v>
      </c>
      <c r="J17" s="100"/>
    </row>
    <row r="18" spans="1:10" ht="14" customHeight="1" x14ac:dyDescent="0.35">
      <c r="A18" s="50" t="s">
        <v>203</v>
      </c>
      <c r="B18" s="33"/>
      <c r="C18" s="83"/>
      <c r="D18" s="84"/>
      <c r="E18" s="84"/>
      <c r="F18" s="84"/>
      <c r="G18" s="84"/>
      <c r="H18" s="84"/>
      <c r="I18" s="59"/>
      <c r="J18" s="100"/>
    </row>
    <row r="19" spans="1:10" ht="14" customHeight="1" x14ac:dyDescent="0.35">
      <c r="A19" s="199" t="s">
        <v>118</v>
      </c>
      <c r="B19" s="33"/>
      <c r="C19" s="34"/>
      <c r="D19" s="34"/>
      <c r="E19" s="84"/>
      <c r="F19" s="84"/>
      <c r="G19" s="84">
        <v>188.4</v>
      </c>
      <c r="H19" s="84"/>
      <c r="I19" s="84">
        <v>368.173</v>
      </c>
      <c r="J19" s="100"/>
    </row>
    <row r="20" spans="1:10" ht="14" customHeight="1" x14ac:dyDescent="0.35">
      <c r="A20" s="199"/>
      <c r="B20" s="33"/>
      <c r="C20" s="34"/>
      <c r="D20" s="34"/>
      <c r="E20" s="84"/>
      <c r="F20" s="84"/>
      <c r="G20" s="82" t="s">
        <v>283</v>
      </c>
      <c r="H20" s="84"/>
      <c r="I20" s="82" t="s">
        <v>299</v>
      </c>
      <c r="J20" s="100"/>
    </row>
    <row r="21" spans="1:10" ht="14" customHeight="1" x14ac:dyDescent="0.35">
      <c r="A21" s="199" t="s">
        <v>119</v>
      </c>
      <c r="B21" s="33"/>
      <c r="C21" s="34"/>
      <c r="D21" s="34"/>
      <c r="E21" s="84"/>
      <c r="F21" s="84"/>
      <c r="G21" s="84">
        <v>713.6</v>
      </c>
      <c r="H21" s="84"/>
      <c r="I21" s="96">
        <v>1109.07</v>
      </c>
      <c r="J21" s="100"/>
    </row>
    <row r="22" spans="1:10" x14ac:dyDescent="0.35">
      <c r="A22" s="199"/>
      <c r="B22" s="33"/>
      <c r="C22" s="34"/>
      <c r="D22" s="34"/>
      <c r="E22" s="84"/>
      <c r="F22" s="84"/>
      <c r="G22" s="82" t="s">
        <v>301</v>
      </c>
      <c r="H22" s="84"/>
      <c r="I22" s="82" t="s">
        <v>300</v>
      </c>
      <c r="J22" s="100"/>
    </row>
    <row r="23" spans="1:10" ht="15.5" x14ac:dyDescent="0.35">
      <c r="A23" s="199" t="s">
        <v>120</v>
      </c>
      <c r="B23" s="33"/>
      <c r="C23" s="34"/>
      <c r="D23" s="34"/>
      <c r="E23" s="84"/>
      <c r="F23" s="84"/>
      <c r="G23" s="52" t="s">
        <v>285</v>
      </c>
      <c r="H23" s="84"/>
      <c r="I23" s="84" t="s">
        <v>302</v>
      </c>
      <c r="J23" s="100"/>
    </row>
    <row r="24" spans="1:10" x14ac:dyDescent="0.35">
      <c r="A24" s="199"/>
      <c r="B24" s="33"/>
      <c r="C24" s="34"/>
      <c r="D24" s="34"/>
      <c r="E24" s="84"/>
      <c r="F24" s="84"/>
      <c r="G24" s="82" t="s">
        <v>284</v>
      </c>
      <c r="H24" s="84"/>
      <c r="I24" s="82" t="s">
        <v>303</v>
      </c>
      <c r="J24" s="100"/>
    </row>
    <row r="25" spans="1:10" ht="16" x14ac:dyDescent="0.35">
      <c r="A25" s="199" t="s">
        <v>121</v>
      </c>
      <c r="B25" s="33"/>
      <c r="C25" s="34"/>
      <c r="D25" s="34"/>
      <c r="E25" s="84"/>
      <c r="F25" s="45"/>
      <c r="G25" s="65" t="s">
        <v>286</v>
      </c>
      <c r="H25" s="84"/>
      <c r="I25" s="84" t="s">
        <v>304</v>
      </c>
      <c r="J25" s="100"/>
    </row>
    <row r="26" spans="1:10" x14ac:dyDescent="0.35">
      <c r="A26" s="199"/>
      <c r="B26" s="33"/>
      <c r="C26" s="83"/>
      <c r="D26" s="84"/>
      <c r="E26" s="84"/>
      <c r="F26" s="45"/>
      <c r="G26" s="82" t="s">
        <v>287</v>
      </c>
      <c r="H26" s="84"/>
      <c r="I26" s="82" t="s">
        <v>305</v>
      </c>
      <c r="J26" s="100"/>
    </row>
    <row r="27" spans="1:10" x14ac:dyDescent="0.35">
      <c r="A27" s="199" t="s">
        <v>122</v>
      </c>
      <c r="B27" s="38"/>
      <c r="C27" s="83"/>
      <c r="D27" s="45"/>
      <c r="E27" s="84"/>
      <c r="F27" s="45"/>
      <c r="G27" s="84">
        <v>919.81</v>
      </c>
      <c r="H27" s="84"/>
      <c r="I27" s="52">
        <v>1001.26</v>
      </c>
      <c r="J27" s="100"/>
    </row>
    <row r="28" spans="1:10" ht="14" customHeight="1" x14ac:dyDescent="0.35">
      <c r="A28" s="199"/>
      <c r="B28" s="33"/>
      <c r="C28" s="34"/>
      <c r="D28" s="34"/>
      <c r="E28" s="84"/>
      <c r="F28" s="45"/>
      <c r="G28" s="82" t="s">
        <v>288</v>
      </c>
      <c r="H28" s="84"/>
      <c r="I28" s="82" t="s">
        <v>306</v>
      </c>
      <c r="J28" s="100"/>
    </row>
    <row r="29" spans="1:10" ht="14" customHeight="1" x14ac:dyDescent="0.35">
      <c r="A29" s="213" t="s">
        <v>201</v>
      </c>
      <c r="B29" s="54"/>
      <c r="C29" s="95" t="s">
        <v>261</v>
      </c>
      <c r="D29" s="94"/>
      <c r="E29" s="93">
        <v>2523.83</v>
      </c>
      <c r="F29" s="71"/>
      <c r="G29" s="92" t="s">
        <v>290</v>
      </c>
      <c r="H29" s="85"/>
      <c r="I29" s="85" t="s">
        <v>307</v>
      </c>
      <c r="J29" s="100"/>
    </row>
    <row r="30" spans="1:10" x14ac:dyDescent="0.35">
      <c r="A30" s="214"/>
      <c r="B30" s="72"/>
      <c r="C30" s="69" t="s">
        <v>262</v>
      </c>
      <c r="D30" s="73"/>
      <c r="E30" s="82" t="s">
        <v>229</v>
      </c>
      <c r="F30" s="75"/>
      <c r="G30" s="82" t="s">
        <v>289</v>
      </c>
      <c r="H30" s="74"/>
      <c r="I30" s="82" t="s">
        <v>308</v>
      </c>
      <c r="J30" s="100"/>
    </row>
    <row r="31" spans="1:10" x14ac:dyDescent="0.35">
      <c r="A31" s="33" t="s">
        <v>204</v>
      </c>
      <c r="B31" s="217">
        <v>2308</v>
      </c>
      <c r="C31" s="217"/>
      <c r="D31" s="217">
        <v>2308</v>
      </c>
      <c r="E31" s="217"/>
      <c r="F31" s="217">
        <v>2308</v>
      </c>
      <c r="G31" s="217"/>
      <c r="H31" s="216">
        <v>1932</v>
      </c>
      <c r="I31" s="216"/>
      <c r="J31" s="100"/>
    </row>
    <row r="32" spans="1:10" ht="16.5" x14ac:dyDescent="0.35">
      <c r="A32" s="54" t="s">
        <v>205</v>
      </c>
      <c r="B32" s="211">
        <v>7.0000000000000001E-3</v>
      </c>
      <c r="C32" s="211"/>
      <c r="D32" s="212">
        <v>0.04</v>
      </c>
      <c r="E32" s="212"/>
      <c r="F32" s="212">
        <v>0.06</v>
      </c>
      <c r="G32" s="212"/>
      <c r="H32" s="212">
        <v>0.03</v>
      </c>
      <c r="I32" s="212"/>
      <c r="J32" s="100"/>
    </row>
    <row r="33" spans="1:10" ht="14" customHeight="1" x14ac:dyDescent="0.35">
      <c r="A33" s="54" t="s">
        <v>206</v>
      </c>
      <c r="B33" s="211">
        <v>6.0000000000000001E-3</v>
      </c>
      <c r="C33" s="211"/>
      <c r="D33" s="212">
        <v>3.7999999999999999E-2</v>
      </c>
      <c r="E33" s="212"/>
      <c r="F33" s="212">
        <v>5.0999999999999997E-2</v>
      </c>
      <c r="G33" s="212"/>
      <c r="H33" s="212">
        <v>0.03</v>
      </c>
      <c r="I33" s="212"/>
      <c r="J33" s="100"/>
    </row>
    <row r="34" spans="1:10" x14ac:dyDescent="0.35">
      <c r="A34" s="86" t="s">
        <v>216</v>
      </c>
      <c r="B34" s="211" t="s">
        <v>263</v>
      </c>
      <c r="C34" s="211"/>
      <c r="D34" s="211" t="s">
        <v>271</v>
      </c>
      <c r="E34" s="211"/>
      <c r="F34" s="211" t="s">
        <v>274</v>
      </c>
      <c r="G34" s="211"/>
      <c r="H34" s="211" t="s">
        <v>309</v>
      </c>
      <c r="I34" s="211"/>
      <c r="J34" s="100"/>
    </row>
    <row r="35" spans="1:10" ht="16" x14ac:dyDescent="0.35">
      <c r="A35" s="213" t="s">
        <v>207</v>
      </c>
      <c r="B35" s="230" t="s">
        <v>265</v>
      </c>
      <c r="C35" s="230"/>
      <c r="D35" s="211" t="s">
        <v>272</v>
      </c>
      <c r="E35" s="211"/>
      <c r="F35" s="211" t="s">
        <v>275</v>
      </c>
      <c r="G35" s="211"/>
      <c r="H35" s="211" t="s">
        <v>310</v>
      </c>
      <c r="I35" s="211"/>
      <c r="J35" s="100"/>
    </row>
    <row r="36" spans="1:10" ht="14.5" customHeight="1" x14ac:dyDescent="0.35">
      <c r="A36" s="214"/>
      <c r="B36" s="210" t="s">
        <v>264</v>
      </c>
      <c r="C36" s="210"/>
      <c r="D36" s="210" t="s">
        <v>273</v>
      </c>
      <c r="E36" s="210"/>
      <c r="F36" s="210" t="s">
        <v>276</v>
      </c>
      <c r="G36" s="210"/>
      <c r="H36" s="210" t="s">
        <v>311</v>
      </c>
      <c r="I36" s="210"/>
      <c r="J36" s="100"/>
    </row>
    <row r="37" spans="1:10" ht="14.5" customHeight="1" x14ac:dyDescent="0.35">
      <c r="A37" s="53" t="s">
        <v>186</v>
      </c>
      <c r="B37" s="228" t="s">
        <v>187</v>
      </c>
      <c r="C37" s="229"/>
      <c r="D37" s="229"/>
      <c r="E37" s="229"/>
      <c r="F37" s="229"/>
      <c r="G37" s="229"/>
      <c r="H37" s="229"/>
      <c r="I37" s="229"/>
      <c r="J37" s="100"/>
    </row>
    <row r="38" spans="1:10" x14ac:dyDescent="0.35">
      <c r="A38" s="206" t="s">
        <v>390</v>
      </c>
      <c r="B38" s="206"/>
      <c r="C38" s="206"/>
      <c r="D38" s="206"/>
      <c r="E38" s="206"/>
      <c r="F38" s="206"/>
      <c r="G38" s="206"/>
      <c r="H38" s="206"/>
      <c r="I38" s="206"/>
    </row>
    <row r="39" spans="1:10" x14ac:dyDescent="0.35">
      <c r="A39" s="100"/>
      <c r="B39" s="100"/>
      <c r="C39" s="100"/>
      <c r="D39" s="100"/>
      <c r="E39" s="100"/>
      <c r="F39" s="100"/>
      <c r="G39" s="100"/>
      <c r="H39" s="100"/>
      <c r="I39" s="100"/>
    </row>
  </sheetData>
  <mergeCells count="49">
    <mergeCell ref="A19:A20"/>
    <mergeCell ref="A2:I2"/>
    <mergeCell ref="B3:H3"/>
    <mergeCell ref="B4:I4"/>
    <mergeCell ref="B6:C6"/>
    <mergeCell ref="D6:E6"/>
    <mergeCell ref="F6:G6"/>
    <mergeCell ref="H6:I6"/>
    <mergeCell ref="A7:A8"/>
    <mergeCell ref="A10:A11"/>
    <mergeCell ref="A12:A13"/>
    <mergeCell ref="A14:A15"/>
    <mergeCell ref="A16:A17"/>
    <mergeCell ref="A21:A22"/>
    <mergeCell ref="A23:A24"/>
    <mergeCell ref="A25:A26"/>
    <mergeCell ref="A27:A28"/>
    <mergeCell ref="A29:A30"/>
    <mergeCell ref="D31:E31"/>
    <mergeCell ref="F31:G31"/>
    <mergeCell ref="H31:I31"/>
    <mergeCell ref="B32:C32"/>
    <mergeCell ref="D32:E32"/>
    <mergeCell ref="F32:G32"/>
    <mergeCell ref="H32:I32"/>
    <mergeCell ref="B31:C31"/>
    <mergeCell ref="D33:E33"/>
    <mergeCell ref="F33:G33"/>
    <mergeCell ref="H33:I33"/>
    <mergeCell ref="B34:C34"/>
    <mergeCell ref="D34:E34"/>
    <mergeCell ref="F34:G34"/>
    <mergeCell ref="H34:I34"/>
    <mergeCell ref="A38:I38"/>
    <mergeCell ref="B5:C5"/>
    <mergeCell ref="D5:E5"/>
    <mergeCell ref="F5:G5"/>
    <mergeCell ref="H5:I5"/>
    <mergeCell ref="B37:I37"/>
    <mergeCell ref="A35:A36"/>
    <mergeCell ref="B35:C35"/>
    <mergeCell ref="D35:E35"/>
    <mergeCell ref="F35:G35"/>
    <mergeCell ref="H35:I35"/>
    <mergeCell ref="B36:C36"/>
    <mergeCell ref="D36:E36"/>
    <mergeCell ref="F36:G36"/>
    <mergeCell ref="H36:I36"/>
    <mergeCell ref="B33:C3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632B-3D77-41A6-96AB-65473752D53A}">
  <dimension ref="B1:AD37"/>
  <sheetViews>
    <sheetView topLeftCell="B1" zoomScale="65" zoomScaleNormal="65" workbookViewId="0">
      <selection activeCell="B1" sqref="B1:K12"/>
    </sheetView>
  </sheetViews>
  <sheetFormatPr baseColWidth="10" defaultRowHeight="14.5" x14ac:dyDescent="0.35"/>
  <cols>
    <col min="2" max="2" width="12.90625" bestFit="1" customWidth="1"/>
    <col min="3" max="3" width="11.54296875" bestFit="1" customWidth="1"/>
    <col min="4" max="4" width="12.36328125" bestFit="1" customWidth="1"/>
    <col min="5" max="5" width="10.26953125" bestFit="1" customWidth="1"/>
    <col min="7" max="8" width="11.54296875" bestFit="1" customWidth="1"/>
    <col min="9" max="9" width="11.54296875" customWidth="1"/>
    <col min="11" max="11" width="11.54296875" bestFit="1" customWidth="1"/>
    <col min="13" max="21" width="10.90625" customWidth="1"/>
  </cols>
  <sheetData>
    <row r="1" spans="2:30" ht="15.5" x14ac:dyDescent="0.35">
      <c r="B1" s="231" t="s">
        <v>374</v>
      </c>
      <c r="C1" s="231"/>
      <c r="D1" s="231"/>
      <c r="E1" s="231"/>
      <c r="F1" s="231"/>
      <c r="G1" s="231"/>
      <c r="H1" s="231"/>
      <c r="I1" s="231"/>
      <c r="J1" s="231"/>
      <c r="K1" s="231"/>
      <c r="L1" s="100"/>
    </row>
    <row r="2" spans="2:30" ht="15.5" x14ac:dyDescent="0.35">
      <c r="B2" s="133" t="s">
        <v>375</v>
      </c>
      <c r="C2" s="133"/>
      <c r="D2" s="133"/>
      <c r="E2" s="133"/>
      <c r="F2" s="133"/>
      <c r="G2" s="133"/>
      <c r="H2" s="133"/>
      <c r="I2" s="133"/>
      <c r="J2" s="133"/>
      <c r="K2" s="100"/>
      <c r="L2" s="100"/>
    </row>
    <row r="3" spans="2:30" x14ac:dyDescent="0.35">
      <c r="B3" s="33"/>
      <c r="C3" s="126" t="s">
        <v>371</v>
      </c>
      <c r="D3" s="232" t="s">
        <v>370</v>
      </c>
      <c r="E3" s="233"/>
      <c r="F3" s="234"/>
      <c r="G3" s="232" t="s">
        <v>372</v>
      </c>
      <c r="H3" s="233"/>
      <c r="I3" s="233"/>
      <c r="J3" s="234"/>
      <c r="K3" s="126" t="s">
        <v>201</v>
      </c>
      <c r="L3" s="100"/>
      <c r="M3" s="215" t="s">
        <v>365</v>
      </c>
      <c r="N3" s="215"/>
      <c r="O3" s="215"/>
      <c r="P3" s="215"/>
      <c r="Q3" s="215"/>
      <c r="R3" s="215"/>
      <c r="S3" s="215"/>
      <c r="T3" s="215"/>
      <c r="U3" s="215"/>
      <c r="V3" s="215" t="s">
        <v>366</v>
      </c>
      <c r="W3" s="215"/>
      <c r="X3" s="215"/>
      <c r="Y3" s="215"/>
      <c r="Z3" s="215"/>
      <c r="AA3" s="215"/>
      <c r="AB3" s="215"/>
      <c r="AC3" s="215"/>
      <c r="AD3" s="215"/>
    </row>
    <row r="4" spans="2:30" ht="16" thickBot="1" x14ac:dyDescent="0.4">
      <c r="B4" s="122"/>
      <c r="C4" s="127" t="s">
        <v>369</v>
      </c>
      <c r="D4" s="127" t="s">
        <v>92</v>
      </c>
      <c r="E4" s="128" t="s">
        <v>89</v>
      </c>
      <c r="F4" s="129" t="s">
        <v>78</v>
      </c>
      <c r="G4" s="127" t="s">
        <v>119</v>
      </c>
      <c r="H4" s="127" t="s">
        <v>120</v>
      </c>
      <c r="I4" s="128" t="s">
        <v>121</v>
      </c>
      <c r="J4" s="129" t="s">
        <v>122</v>
      </c>
      <c r="K4" s="127"/>
      <c r="L4" s="100"/>
      <c r="M4" s="43"/>
      <c r="N4" s="219" t="s">
        <v>194</v>
      </c>
      <c r="O4" s="219"/>
      <c r="P4" s="219"/>
      <c r="Q4" s="219"/>
      <c r="R4" s="219"/>
      <c r="S4" s="219"/>
      <c r="T4" s="219"/>
      <c r="U4" s="64"/>
      <c r="V4" s="43"/>
      <c r="W4" s="219" t="s">
        <v>194</v>
      </c>
      <c r="X4" s="219"/>
      <c r="Y4" s="219"/>
      <c r="Z4" s="219"/>
      <c r="AA4" s="219"/>
      <c r="AB4" s="219"/>
      <c r="AC4" s="219"/>
      <c r="AD4" s="64"/>
    </row>
    <row r="5" spans="2:30" ht="15.5" x14ac:dyDescent="0.35">
      <c r="B5" s="125" t="s">
        <v>367</v>
      </c>
      <c r="C5" s="123">
        <v>1928.36</v>
      </c>
      <c r="D5" s="122">
        <v>-0.24</v>
      </c>
      <c r="E5" s="122">
        <v>0.06</v>
      </c>
      <c r="F5" s="122"/>
      <c r="G5" s="130"/>
      <c r="H5" s="130">
        <v>1048.71</v>
      </c>
      <c r="I5" s="131">
        <v>-1209.0999999999999</v>
      </c>
      <c r="J5" s="33"/>
      <c r="K5" s="132">
        <v>2523.84</v>
      </c>
      <c r="L5" s="100"/>
      <c r="M5" s="50"/>
      <c r="N5" s="221" t="s">
        <v>50</v>
      </c>
      <c r="O5" s="221"/>
      <c r="P5" s="221"/>
      <c r="Q5" s="221"/>
      <c r="R5" s="221"/>
      <c r="S5" s="221"/>
      <c r="T5" s="221"/>
      <c r="U5" s="221"/>
      <c r="V5" s="50"/>
      <c r="W5" s="221" t="s">
        <v>298</v>
      </c>
      <c r="X5" s="221"/>
      <c r="Y5" s="221"/>
      <c r="Z5" s="221"/>
      <c r="AA5" s="221"/>
      <c r="AB5" s="221"/>
      <c r="AC5" s="221"/>
      <c r="AD5" s="221"/>
    </row>
    <row r="6" spans="2:30" ht="16" thickBot="1" x14ac:dyDescent="0.4">
      <c r="B6" s="125" t="s">
        <v>368</v>
      </c>
      <c r="C6" s="124">
        <v>1.44</v>
      </c>
      <c r="D6" s="122">
        <v>0</v>
      </c>
      <c r="E6" s="122">
        <v>0</v>
      </c>
      <c r="F6" s="122"/>
      <c r="G6" s="122"/>
      <c r="H6" s="122"/>
      <c r="I6" s="122">
        <v>-1.53</v>
      </c>
      <c r="J6" s="33">
        <v>-4.2</v>
      </c>
      <c r="K6" s="124">
        <v>50.47</v>
      </c>
      <c r="L6" s="100"/>
      <c r="M6" s="66"/>
      <c r="N6" s="220" t="s">
        <v>195</v>
      </c>
      <c r="O6" s="220"/>
      <c r="P6" s="220" t="s">
        <v>196</v>
      </c>
      <c r="Q6" s="220"/>
      <c r="R6" s="220" t="s">
        <v>197</v>
      </c>
      <c r="S6" s="220"/>
      <c r="T6" s="220" t="s">
        <v>198</v>
      </c>
      <c r="U6" s="220"/>
      <c r="V6" s="66"/>
      <c r="W6" s="220" t="s">
        <v>195</v>
      </c>
      <c r="X6" s="220"/>
      <c r="Y6" s="220" t="s">
        <v>196</v>
      </c>
      <c r="Z6" s="220"/>
      <c r="AA6" s="220" t="s">
        <v>197</v>
      </c>
      <c r="AB6" s="220"/>
      <c r="AC6" s="220" t="s">
        <v>198</v>
      </c>
      <c r="AD6" s="220"/>
    </row>
    <row r="7" spans="2:30" ht="7.5" customHeight="1" x14ac:dyDescent="0.35">
      <c r="B7" s="33"/>
      <c r="C7" s="33"/>
      <c r="D7" s="33"/>
      <c r="E7" s="33"/>
      <c r="F7" s="33"/>
      <c r="G7" s="33"/>
      <c r="H7" s="33"/>
      <c r="I7" s="33"/>
      <c r="J7" s="33"/>
      <c r="K7" s="100"/>
      <c r="L7" s="100"/>
      <c r="M7" s="218" t="s">
        <v>156</v>
      </c>
      <c r="N7" s="67"/>
      <c r="O7" s="68" t="s">
        <v>202</v>
      </c>
      <c r="P7" s="67"/>
      <c r="Q7" s="79" t="s">
        <v>200</v>
      </c>
      <c r="R7" s="67"/>
      <c r="S7" s="65" t="s">
        <v>234</v>
      </c>
      <c r="T7" s="67"/>
      <c r="U7" s="80" t="s">
        <v>239</v>
      </c>
      <c r="V7" s="218" t="s">
        <v>156</v>
      </c>
      <c r="W7" s="67"/>
      <c r="X7" s="68" t="s">
        <v>260</v>
      </c>
      <c r="Y7" s="67"/>
      <c r="Z7" s="68" t="s">
        <v>269</v>
      </c>
      <c r="AA7" s="67"/>
      <c r="AB7" s="65" t="s">
        <v>277</v>
      </c>
      <c r="AC7" s="67"/>
      <c r="AD7" s="80" t="s">
        <v>293</v>
      </c>
    </row>
    <row r="8" spans="2:30" ht="15.5" x14ac:dyDescent="0.35">
      <c r="B8" s="235" t="s">
        <v>373</v>
      </c>
      <c r="C8" s="235"/>
      <c r="D8" s="235"/>
      <c r="E8" s="235"/>
      <c r="F8" s="235"/>
      <c r="G8" s="235"/>
      <c r="H8" s="235"/>
      <c r="I8" s="235"/>
      <c r="J8" s="235"/>
      <c r="K8" s="100"/>
      <c r="L8" s="100"/>
      <c r="M8" s="213"/>
      <c r="N8" s="67"/>
      <c r="O8" s="77">
        <v>-0.14099999999999999</v>
      </c>
      <c r="P8" s="77"/>
      <c r="Q8" s="77">
        <v>-0.48</v>
      </c>
      <c r="R8" s="77"/>
      <c r="S8" s="77">
        <v>-0.56599999999999995</v>
      </c>
      <c r="T8" s="77"/>
      <c r="U8" s="77">
        <v>-0.41499999999999998</v>
      </c>
      <c r="V8" s="213"/>
      <c r="W8" s="67"/>
      <c r="X8" s="81" t="s">
        <v>259</v>
      </c>
      <c r="Y8" s="77"/>
      <c r="Z8" s="81" t="s">
        <v>291</v>
      </c>
      <c r="AA8" s="81"/>
      <c r="AB8" s="81" t="s">
        <v>278</v>
      </c>
      <c r="AC8" s="81"/>
      <c r="AD8" s="81" t="s">
        <v>292</v>
      </c>
    </row>
    <row r="9" spans="2:30" x14ac:dyDescent="0.35">
      <c r="B9" s="33"/>
      <c r="C9" s="126" t="s">
        <v>371</v>
      </c>
      <c r="D9" s="232" t="s">
        <v>370</v>
      </c>
      <c r="E9" s="233"/>
      <c r="F9" s="234"/>
      <c r="G9" s="232" t="s">
        <v>372</v>
      </c>
      <c r="H9" s="233"/>
      <c r="I9" s="233"/>
      <c r="J9" s="234"/>
      <c r="K9" s="126" t="s">
        <v>201</v>
      </c>
      <c r="L9" s="100"/>
      <c r="M9" s="50" t="s">
        <v>199</v>
      </c>
      <c r="N9" s="67"/>
      <c r="O9" s="67"/>
      <c r="P9" s="67"/>
      <c r="Q9" s="67"/>
      <c r="R9" s="67"/>
      <c r="S9" s="67"/>
      <c r="T9" s="67"/>
      <c r="U9" s="80"/>
      <c r="V9" s="50" t="s">
        <v>199</v>
      </c>
      <c r="W9" s="67"/>
      <c r="X9" s="67"/>
      <c r="Y9" s="67"/>
      <c r="Z9" s="67"/>
      <c r="AA9" s="67"/>
      <c r="AB9" s="67"/>
      <c r="AC9" s="67"/>
      <c r="AD9" s="80"/>
    </row>
    <row r="10" spans="2:30" ht="16" thickBot="1" x14ac:dyDescent="0.4">
      <c r="B10" s="122"/>
      <c r="C10" s="127" t="s">
        <v>369</v>
      </c>
      <c r="D10" s="127" t="s">
        <v>92</v>
      </c>
      <c r="E10" s="128" t="s">
        <v>89</v>
      </c>
      <c r="F10" s="129" t="s">
        <v>78</v>
      </c>
      <c r="G10" s="127" t="s">
        <v>119</v>
      </c>
      <c r="H10" s="127" t="s">
        <v>120</v>
      </c>
      <c r="I10" s="128" t="s">
        <v>121</v>
      </c>
      <c r="J10" s="129" t="s">
        <v>122</v>
      </c>
      <c r="K10" s="127"/>
      <c r="L10" s="100"/>
      <c r="M10" s="199" t="s">
        <v>161</v>
      </c>
      <c r="N10" s="67"/>
      <c r="O10" s="68"/>
      <c r="P10" s="67"/>
      <c r="Q10" s="90">
        <v>8.9999999999999993E-3</v>
      </c>
      <c r="R10" s="90"/>
      <c r="S10" s="90">
        <v>-4.0000000000000001E-3</v>
      </c>
      <c r="T10" s="90"/>
      <c r="U10" s="90">
        <v>-8.9999999999999993E-3</v>
      </c>
      <c r="V10" s="199" t="s">
        <v>161</v>
      </c>
      <c r="W10" s="67"/>
      <c r="X10" s="68"/>
      <c r="Y10" s="67"/>
      <c r="Z10" s="90">
        <v>-5.1159999999999997</v>
      </c>
      <c r="AA10" s="90" t="s">
        <v>0</v>
      </c>
      <c r="AB10" s="90">
        <v>-15.984999999999999</v>
      </c>
      <c r="AC10" s="90"/>
      <c r="AD10" s="90">
        <v>-17.995999999999999</v>
      </c>
    </row>
    <row r="11" spans="2:30" ht="15.5" x14ac:dyDescent="0.35">
      <c r="B11" s="125" t="s">
        <v>367</v>
      </c>
      <c r="C11" s="123">
        <v>1481.7</v>
      </c>
      <c r="D11" s="123">
        <v>-0.24399999999999999</v>
      </c>
      <c r="E11" s="123"/>
      <c r="F11" s="123"/>
      <c r="G11" s="123"/>
      <c r="H11" s="123">
        <v>1201.97</v>
      </c>
      <c r="I11" s="123">
        <v>-1466.71</v>
      </c>
      <c r="J11" s="123"/>
      <c r="K11" s="132">
        <v>2959</v>
      </c>
      <c r="L11" s="100"/>
      <c r="M11" s="199"/>
      <c r="N11" s="65"/>
      <c r="O11" s="77"/>
      <c r="P11" s="65"/>
      <c r="Q11" s="81" t="s">
        <v>221</v>
      </c>
      <c r="R11" s="91"/>
      <c r="S11" s="81" t="s">
        <v>220</v>
      </c>
      <c r="T11" s="91"/>
      <c r="U11" s="81" t="s">
        <v>246</v>
      </c>
      <c r="V11" s="199"/>
      <c r="W11" s="65"/>
      <c r="X11" s="77"/>
      <c r="Y11" s="65"/>
      <c r="Z11" s="81" t="s">
        <v>266</v>
      </c>
      <c r="AA11" s="91"/>
      <c r="AB11" s="81" t="s">
        <v>279</v>
      </c>
      <c r="AC11" s="91"/>
      <c r="AD11" s="81" t="s">
        <v>246</v>
      </c>
    </row>
    <row r="12" spans="2:30" ht="15.5" x14ac:dyDescent="0.35">
      <c r="B12" s="125" t="s">
        <v>368</v>
      </c>
      <c r="C12" s="124">
        <v>2.64</v>
      </c>
      <c r="D12" s="122">
        <v>-1E-3</v>
      </c>
      <c r="E12" s="122"/>
      <c r="F12" s="122">
        <v>-0.99199999999999999</v>
      </c>
      <c r="G12" s="122">
        <v>-2.83</v>
      </c>
      <c r="H12" s="122"/>
      <c r="I12" s="122">
        <v>-2.46</v>
      </c>
      <c r="J12" s="33">
        <v>-4.2</v>
      </c>
      <c r="K12" s="122">
        <v>54.83</v>
      </c>
      <c r="L12" s="100"/>
      <c r="M12" s="199" t="s">
        <v>89</v>
      </c>
      <c r="N12" s="67"/>
      <c r="O12" s="67"/>
      <c r="P12" s="67"/>
      <c r="Q12" s="90">
        <v>0</v>
      </c>
      <c r="R12" s="67"/>
      <c r="S12" s="90" t="s">
        <v>235</v>
      </c>
      <c r="T12" s="67"/>
      <c r="U12" s="90">
        <v>0</v>
      </c>
      <c r="V12" s="199" t="s">
        <v>89</v>
      </c>
      <c r="W12" s="67"/>
      <c r="X12" s="67"/>
      <c r="Y12" s="67"/>
      <c r="Z12" s="90">
        <v>-2E-3</v>
      </c>
      <c r="AA12" s="67"/>
      <c r="AB12" s="90" t="s">
        <v>282</v>
      </c>
      <c r="AC12" s="67"/>
      <c r="AD12" s="90">
        <v>4.0000000000000001E-3</v>
      </c>
    </row>
    <row r="13" spans="2:30" x14ac:dyDescent="0.35">
      <c r="B13" s="33"/>
      <c r="C13" s="33"/>
      <c r="D13" s="33"/>
      <c r="E13" s="33"/>
      <c r="F13" s="33"/>
      <c r="G13" s="33"/>
      <c r="H13" s="33"/>
      <c r="I13" s="33"/>
      <c r="J13" s="33"/>
      <c r="K13" s="100"/>
      <c r="L13" s="100"/>
      <c r="M13" s="199"/>
      <c r="N13" s="65"/>
      <c r="O13" s="65"/>
      <c r="P13" s="65"/>
      <c r="Q13" s="81" t="s">
        <v>218</v>
      </c>
      <c r="R13" s="81"/>
      <c r="S13" s="81" t="s">
        <v>222</v>
      </c>
      <c r="T13" s="81"/>
      <c r="U13" s="81" t="s">
        <v>218</v>
      </c>
      <c r="V13" s="199"/>
      <c r="W13" s="65"/>
      <c r="X13" s="65"/>
      <c r="Y13" s="65"/>
      <c r="Z13" s="81" t="s">
        <v>267</v>
      </c>
      <c r="AA13" s="81"/>
      <c r="AB13" s="81" t="s">
        <v>222</v>
      </c>
      <c r="AC13" s="81"/>
      <c r="AD13" s="81" t="s">
        <v>294</v>
      </c>
    </row>
    <row r="14" spans="2:30" ht="18.5" x14ac:dyDescent="0.35">
      <c r="B14" s="33"/>
      <c r="C14" s="33"/>
      <c r="D14" s="33"/>
      <c r="E14" s="33"/>
      <c r="F14" s="33"/>
      <c r="G14" s="33"/>
      <c r="H14" s="33"/>
      <c r="I14" s="33"/>
      <c r="J14" s="33"/>
      <c r="K14" s="100"/>
      <c r="L14" s="100"/>
      <c r="M14" s="199" t="s">
        <v>92</v>
      </c>
      <c r="N14" s="67"/>
      <c r="O14" s="67"/>
      <c r="P14" s="67"/>
      <c r="Q14" s="90">
        <v>0</v>
      </c>
      <c r="R14" s="67"/>
      <c r="S14" s="90" t="s">
        <v>236</v>
      </c>
      <c r="T14" s="67"/>
      <c r="U14" s="90" t="s">
        <v>247</v>
      </c>
      <c r="V14" s="199" t="s">
        <v>92</v>
      </c>
      <c r="W14" s="67"/>
      <c r="X14" s="67"/>
      <c r="Y14" s="67"/>
      <c r="Z14" s="90" t="s">
        <v>236</v>
      </c>
      <c r="AA14" s="67"/>
      <c r="AB14" s="90" t="s">
        <v>280</v>
      </c>
      <c r="AC14" s="67"/>
      <c r="AD14" s="90" t="s">
        <v>295</v>
      </c>
    </row>
    <row r="15" spans="2:30" x14ac:dyDescent="0.35">
      <c r="M15" s="199"/>
      <c r="N15" s="65"/>
      <c r="O15" s="65"/>
      <c r="P15" s="65"/>
      <c r="Q15" s="69" t="s">
        <v>218</v>
      </c>
      <c r="R15" s="65"/>
      <c r="S15" s="69" t="s">
        <v>218</v>
      </c>
      <c r="T15" s="65"/>
      <c r="U15" s="81" t="s">
        <v>218</v>
      </c>
      <c r="V15" s="199"/>
      <c r="W15" s="65"/>
      <c r="X15" s="65"/>
      <c r="Y15" s="65"/>
      <c r="Z15" s="69" t="s">
        <v>218</v>
      </c>
      <c r="AA15" s="65"/>
      <c r="AB15" s="69" t="s">
        <v>281</v>
      </c>
      <c r="AC15" s="65"/>
      <c r="AD15" s="81" t="s">
        <v>296</v>
      </c>
    </row>
    <row r="16" spans="2:30" ht="15.5" x14ac:dyDescent="0.35">
      <c r="M16" s="199" t="s">
        <v>78</v>
      </c>
      <c r="N16" s="67"/>
      <c r="O16" s="67"/>
      <c r="P16" s="67"/>
      <c r="Q16" s="90">
        <v>-1.37</v>
      </c>
      <c r="R16" s="67"/>
      <c r="S16" s="90" t="s">
        <v>217</v>
      </c>
      <c r="T16" s="67"/>
      <c r="U16" s="90" t="s">
        <v>248</v>
      </c>
      <c r="V16" s="199" t="s">
        <v>78</v>
      </c>
      <c r="W16" s="67"/>
      <c r="X16" s="67"/>
      <c r="Y16" s="67"/>
      <c r="Z16" s="65" t="s">
        <v>270</v>
      </c>
      <c r="AA16" s="67"/>
      <c r="AB16" s="80">
        <v>919.81200000000001</v>
      </c>
      <c r="AC16" s="67"/>
      <c r="AD16" s="90">
        <v>200.864</v>
      </c>
    </row>
    <row r="17" spans="13:30" x14ac:dyDescent="0.35">
      <c r="M17" s="199"/>
      <c r="N17" s="65"/>
      <c r="O17" s="65"/>
      <c r="P17" s="65"/>
      <c r="Q17" s="69" t="s">
        <v>219</v>
      </c>
      <c r="R17" s="65"/>
      <c r="S17" s="69" t="s">
        <v>223</v>
      </c>
      <c r="T17" s="65"/>
      <c r="U17" s="81" t="s">
        <v>249</v>
      </c>
      <c r="V17" s="199"/>
      <c r="W17" s="65"/>
      <c r="X17" s="65"/>
      <c r="Y17" s="65"/>
      <c r="Z17" s="69" t="s">
        <v>268</v>
      </c>
      <c r="AA17" s="65"/>
      <c r="AB17" s="69" t="s">
        <v>223</v>
      </c>
      <c r="AC17" s="65"/>
      <c r="AD17" s="81" t="s">
        <v>297</v>
      </c>
    </row>
    <row r="18" spans="13:30" x14ac:dyDescent="0.35">
      <c r="M18" s="50" t="s">
        <v>203</v>
      </c>
      <c r="N18" s="33"/>
      <c r="O18" s="112"/>
      <c r="P18" s="115"/>
      <c r="Q18" s="115"/>
      <c r="R18" s="115"/>
      <c r="S18" s="115"/>
      <c r="T18" s="115"/>
      <c r="U18" s="59"/>
      <c r="V18" s="50" t="s">
        <v>203</v>
      </c>
      <c r="W18" s="33"/>
      <c r="X18" s="112"/>
      <c r="Y18" s="115"/>
      <c r="Z18" s="115"/>
      <c r="AA18" s="115"/>
      <c r="AB18" s="115"/>
      <c r="AC18" s="115"/>
      <c r="AD18" s="59"/>
    </row>
    <row r="19" spans="13:30" x14ac:dyDescent="0.35">
      <c r="M19" s="199" t="s">
        <v>118</v>
      </c>
      <c r="N19" s="33"/>
      <c r="O19" s="34"/>
      <c r="P19" s="34"/>
      <c r="Q19" s="115"/>
      <c r="R19" s="115"/>
      <c r="S19" s="115">
        <v>-0.45100000000000001</v>
      </c>
      <c r="T19" s="115"/>
      <c r="U19" s="115">
        <v>-0.14799999999999999</v>
      </c>
      <c r="V19" s="199" t="s">
        <v>118</v>
      </c>
      <c r="W19" s="33"/>
      <c r="X19" s="34"/>
      <c r="Y19" s="34"/>
      <c r="Z19" s="115"/>
      <c r="AA19" s="115"/>
      <c r="AB19" s="115">
        <v>188.4</v>
      </c>
      <c r="AC19" s="115"/>
      <c r="AD19" s="115">
        <v>368.173</v>
      </c>
    </row>
    <row r="20" spans="13:30" x14ac:dyDescent="0.35">
      <c r="M20" s="199"/>
      <c r="N20" s="33"/>
      <c r="O20" s="34"/>
      <c r="P20" s="34"/>
      <c r="Q20" s="115"/>
      <c r="R20" s="115"/>
      <c r="S20" s="82" t="s">
        <v>224</v>
      </c>
      <c r="T20" s="115"/>
      <c r="U20" s="82" t="s">
        <v>252</v>
      </c>
      <c r="V20" s="199"/>
      <c r="W20" s="33"/>
      <c r="X20" s="34"/>
      <c r="Y20" s="34"/>
      <c r="Z20" s="115"/>
      <c r="AA20" s="115"/>
      <c r="AB20" s="82" t="s">
        <v>283</v>
      </c>
      <c r="AC20" s="115"/>
      <c r="AD20" s="82" t="s">
        <v>299</v>
      </c>
    </row>
    <row r="21" spans="13:30" ht="15.5" x14ac:dyDescent="0.35">
      <c r="M21" s="199" t="s">
        <v>119</v>
      </c>
      <c r="N21" s="33"/>
      <c r="O21" s="34"/>
      <c r="P21" s="34"/>
      <c r="Q21" s="115"/>
      <c r="R21" s="115"/>
      <c r="S21" s="115">
        <v>-0.81499999999999995</v>
      </c>
      <c r="T21" s="115"/>
      <c r="U21" s="59" t="s">
        <v>250</v>
      </c>
      <c r="V21" s="199" t="s">
        <v>119</v>
      </c>
      <c r="W21" s="33"/>
      <c r="X21" s="34"/>
      <c r="Y21" s="34"/>
      <c r="Z21" s="115"/>
      <c r="AA21" s="115"/>
      <c r="AB21" s="115">
        <v>713.6</v>
      </c>
      <c r="AC21" s="115"/>
      <c r="AD21" s="96">
        <v>1109.07</v>
      </c>
    </row>
    <row r="22" spans="13:30" x14ac:dyDescent="0.35">
      <c r="M22" s="199"/>
      <c r="N22" s="33"/>
      <c r="O22" s="34"/>
      <c r="P22" s="34"/>
      <c r="Q22" s="115"/>
      <c r="R22" s="115"/>
      <c r="S22" s="82" t="s">
        <v>225</v>
      </c>
      <c r="T22" s="115"/>
      <c r="U22" s="82" t="s">
        <v>253</v>
      </c>
      <c r="V22" s="199"/>
      <c r="W22" s="33"/>
      <c r="X22" s="34"/>
      <c r="Y22" s="34"/>
      <c r="Z22" s="115"/>
      <c r="AA22" s="115"/>
      <c r="AB22" s="82" t="s">
        <v>301</v>
      </c>
      <c r="AC22" s="115"/>
      <c r="AD22" s="82" t="s">
        <v>300</v>
      </c>
    </row>
    <row r="23" spans="13:30" ht="15.5" x14ac:dyDescent="0.35">
      <c r="M23" s="199" t="s">
        <v>120</v>
      </c>
      <c r="N23" s="33"/>
      <c r="O23" s="34"/>
      <c r="P23" s="34"/>
      <c r="Q23" s="115"/>
      <c r="R23" s="115"/>
      <c r="S23" s="115">
        <v>0.39600000000000002</v>
      </c>
      <c r="T23" s="115"/>
      <c r="U23" s="115">
        <v>-0.13500000000000001</v>
      </c>
      <c r="V23" s="199" t="s">
        <v>120</v>
      </c>
      <c r="W23" s="33"/>
      <c r="X23" s="34"/>
      <c r="Y23" s="34"/>
      <c r="Z23" s="115"/>
      <c r="AA23" s="115"/>
      <c r="AB23" s="52" t="s">
        <v>285</v>
      </c>
      <c r="AC23" s="115"/>
      <c r="AD23" s="115" t="s">
        <v>302</v>
      </c>
    </row>
    <row r="24" spans="13:30" x14ac:dyDescent="0.35">
      <c r="M24" s="199"/>
      <c r="N24" s="33"/>
      <c r="O24" s="34"/>
      <c r="P24" s="34"/>
      <c r="Q24" s="115"/>
      <c r="R24" s="115"/>
      <c r="S24" s="82" t="s">
        <v>226</v>
      </c>
      <c r="T24" s="115"/>
      <c r="U24" s="82" t="s">
        <v>254</v>
      </c>
      <c r="V24" s="199"/>
      <c r="W24" s="33"/>
      <c r="X24" s="34"/>
      <c r="Y24" s="34"/>
      <c r="Z24" s="115"/>
      <c r="AA24" s="115"/>
      <c r="AB24" s="82" t="s">
        <v>284</v>
      </c>
      <c r="AC24" s="115"/>
      <c r="AD24" s="82" t="s">
        <v>303</v>
      </c>
    </row>
    <row r="25" spans="13:30" ht="16" x14ac:dyDescent="0.35">
      <c r="M25" s="199" t="s">
        <v>121</v>
      </c>
      <c r="N25" s="33"/>
      <c r="O25" s="34"/>
      <c r="P25" s="34"/>
      <c r="Q25" s="115"/>
      <c r="R25" s="115"/>
      <c r="S25" s="80" t="s">
        <v>237</v>
      </c>
      <c r="T25" s="115"/>
      <c r="U25" s="115" t="s">
        <v>364</v>
      </c>
      <c r="V25" s="199" t="s">
        <v>121</v>
      </c>
      <c r="W25" s="33"/>
      <c r="X25" s="34"/>
      <c r="Y25" s="34"/>
      <c r="Z25" s="115"/>
      <c r="AA25" s="45"/>
      <c r="AB25" s="65" t="s">
        <v>286</v>
      </c>
      <c r="AC25" s="115"/>
      <c r="AD25" s="115" t="s">
        <v>304</v>
      </c>
    </row>
    <row r="26" spans="13:30" x14ac:dyDescent="0.35">
      <c r="M26" s="199"/>
      <c r="N26" s="33"/>
      <c r="O26" s="112"/>
      <c r="P26" s="115"/>
      <c r="Q26" s="115"/>
      <c r="R26" s="115"/>
      <c r="S26" s="82" t="s">
        <v>227</v>
      </c>
      <c r="T26" s="115"/>
      <c r="U26" s="82" t="s">
        <v>255</v>
      </c>
      <c r="V26" s="199"/>
      <c r="W26" s="33"/>
      <c r="X26" s="112"/>
      <c r="Y26" s="115"/>
      <c r="Z26" s="115"/>
      <c r="AA26" s="45"/>
      <c r="AB26" s="82" t="s">
        <v>287</v>
      </c>
      <c r="AC26" s="115"/>
      <c r="AD26" s="82" t="s">
        <v>305</v>
      </c>
    </row>
    <row r="27" spans="13:30" ht="16" x14ac:dyDescent="0.35">
      <c r="M27" s="199" t="s">
        <v>122</v>
      </c>
      <c r="N27" s="38"/>
      <c r="O27" s="112"/>
      <c r="P27" s="115"/>
      <c r="Q27" s="115"/>
      <c r="R27" s="115"/>
      <c r="S27" s="115" t="s">
        <v>238</v>
      </c>
      <c r="T27" s="115"/>
      <c r="U27" s="115" t="s">
        <v>251</v>
      </c>
      <c r="V27" s="199" t="s">
        <v>122</v>
      </c>
      <c r="W27" s="38"/>
      <c r="X27" s="112"/>
      <c r="Y27" s="45"/>
      <c r="Z27" s="115"/>
      <c r="AA27" s="45"/>
      <c r="AB27" s="115">
        <v>919.81</v>
      </c>
      <c r="AC27" s="115"/>
      <c r="AD27" s="52">
        <v>1001.26</v>
      </c>
    </row>
    <row r="28" spans="13:30" x14ac:dyDescent="0.35">
      <c r="M28" s="199"/>
      <c r="N28" s="33"/>
      <c r="O28" s="34"/>
      <c r="P28" s="34"/>
      <c r="Q28" s="115"/>
      <c r="R28" s="115"/>
      <c r="S28" s="82" t="s">
        <v>228</v>
      </c>
      <c r="T28" s="115"/>
      <c r="U28" s="82" t="s">
        <v>256</v>
      </c>
      <c r="V28" s="199"/>
      <c r="W28" s="33"/>
      <c r="X28" s="34"/>
      <c r="Y28" s="34"/>
      <c r="Z28" s="115"/>
      <c r="AA28" s="45"/>
      <c r="AB28" s="82" t="s">
        <v>288</v>
      </c>
      <c r="AC28" s="115"/>
      <c r="AD28" s="82" t="s">
        <v>306</v>
      </c>
    </row>
    <row r="29" spans="13:30" ht="16" x14ac:dyDescent="0.35">
      <c r="M29" s="213" t="s">
        <v>201</v>
      </c>
      <c r="N29" s="54"/>
      <c r="O29" s="78" t="s">
        <v>214</v>
      </c>
      <c r="P29" s="70"/>
      <c r="Q29" s="78" t="s">
        <v>214</v>
      </c>
      <c r="R29" s="113"/>
      <c r="S29" s="113" t="s">
        <v>214</v>
      </c>
      <c r="T29" s="113"/>
      <c r="U29" s="113" t="s">
        <v>258</v>
      </c>
      <c r="V29" s="213" t="s">
        <v>201</v>
      </c>
      <c r="W29" s="54"/>
      <c r="X29" s="95" t="s">
        <v>261</v>
      </c>
      <c r="Y29" s="94"/>
      <c r="Z29" s="93">
        <v>2523.83</v>
      </c>
      <c r="AA29" s="71"/>
      <c r="AB29" s="92" t="s">
        <v>290</v>
      </c>
      <c r="AC29" s="113"/>
      <c r="AD29" s="113" t="s">
        <v>307</v>
      </c>
    </row>
    <row r="30" spans="13:30" x14ac:dyDescent="0.35">
      <c r="M30" s="214"/>
      <c r="N30" s="72"/>
      <c r="O30" s="37">
        <v>-0.13700000000000001</v>
      </c>
      <c r="P30" s="73"/>
      <c r="Q30" s="82" t="s">
        <v>229</v>
      </c>
      <c r="R30" s="74"/>
      <c r="S30" s="82" t="s">
        <v>229</v>
      </c>
      <c r="T30" s="74"/>
      <c r="U30" s="82" t="s">
        <v>257</v>
      </c>
      <c r="V30" s="214"/>
      <c r="W30" s="72"/>
      <c r="X30" s="69" t="s">
        <v>262</v>
      </c>
      <c r="Y30" s="73"/>
      <c r="Z30" s="82" t="s">
        <v>229</v>
      </c>
      <c r="AA30" s="75"/>
      <c r="AB30" s="82" t="s">
        <v>289</v>
      </c>
      <c r="AC30" s="74"/>
      <c r="AD30" s="82" t="s">
        <v>308</v>
      </c>
    </row>
    <row r="31" spans="13:30" x14ac:dyDescent="0.35">
      <c r="M31" s="33" t="s">
        <v>204</v>
      </c>
      <c r="N31" s="217">
        <v>2318</v>
      </c>
      <c r="O31" s="217"/>
      <c r="P31" s="216">
        <v>2318</v>
      </c>
      <c r="Q31" s="216"/>
      <c r="R31" s="216">
        <v>2318</v>
      </c>
      <c r="S31" s="216"/>
      <c r="T31" s="216">
        <v>1838</v>
      </c>
      <c r="U31" s="216"/>
      <c r="V31" s="33" t="s">
        <v>204</v>
      </c>
      <c r="W31" s="217">
        <v>2308</v>
      </c>
      <c r="X31" s="217"/>
      <c r="Y31" s="217">
        <v>2308</v>
      </c>
      <c r="Z31" s="217"/>
      <c r="AA31" s="217">
        <v>2308</v>
      </c>
      <c r="AB31" s="217"/>
      <c r="AC31" s="216">
        <v>1932</v>
      </c>
      <c r="AD31" s="216"/>
    </row>
    <row r="32" spans="13:30" ht="16.5" x14ac:dyDescent="0.35">
      <c r="M32" s="54" t="s">
        <v>205</v>
      </c>
      <c r="N32" s="211">
        <v>1E-3</v>
      </c>
      <c r="O32" s="211"/>
      <c r="P32" s="212">
        <v>3.3000000000000002E-2</v>
      </c>
      <c r="Q32" s="212"/>
      <c r="R32" s="212">
        <v>4.9000000000000002E-2</v>
      </c>
      <c r="S32" s="212"/>
      <c r="T32" s="212">
        <v>0.114</v>
      </c>
      <c r="U32" s="212"/>
      <c r="V32" s="54" t="s">
        <v>205</v>
      </c>
      <c r="W32" s="211">
        <v>7.0000000000000001E-3</v>
      </c>
      <c r="X32" s="211"/>
      <c r="Y32" s="212">
        <v>0.04</v>
      </c>
      <c r="Z32" s="212"/>
      <c r="AA32" s="212">
        <v>0.06</v>
      </c>
      <c r="AB32" s="212"/>
      <c r="AC32" s="212">
        <v>0.03</v>
      </c>
      <c r="AD32" s="212"/>
    </row>
    <row r="33" spans="13:30" ht="16.5" x14ac:dyDescent="0.35">
      <c r="M33" s="54" t="s">
        <v>206</v>
      </c>
      <c r="N33" s="211">
        <v>0</v>
      </c>
      <c r="O33" s="211"/>
      <c r="P33" s="212">
        <v>3.1E-2</v>
      </c>
      <c r="Q33" s="212"/>
      <c r="R33" s="212">
        <v>4.4999999999999998E-2</v>
      </c>
      <c r="S33" s="212"/>
      <c r="T33" s="212">
        <v>0.109</v>
      </c>
      <c r="U33" s="212"/>
      <c r="V33" s="54" t="s">
        <v>206</v>
      </c>
      <c r="W33" s="211">
        <v>6.0000000000000001E-3</v>
      </c>
      <c r="X33" s="211"/>
      <c r="Y33" s="212">
        <v>3.7999999999999999E-2</v>
      </c>
      <c r="Z33" s="212"/>
      <c r="AA33" s="212">
        <v>5.0999999999999997E-2</v>
      </c>
      <c r="AB33" s="212"/>
      <c r="AC33" s="212">
        <v>0.03</v>
      </c>
      <c r="AD33" s="212"/>
    </row>
    <row r="34" spans="13:30" x14ac:dyDescent="0.35">
      <c r="M34" s="114" t="s">
        <v>216</v>
      </c>
      <c r="N34" s="211" t="s">
        <v>215</v>
      </c>
      <c r="O34" s="211"/>
      <c r="P34" s="211" t="s">
        <v>233</v>
      </c>
      <c r="Q34" s="211"/>
      <c r="R34" s="211" t="s">
        <v>230</v>
      </c>
      <c r="S34" s="211"/>
      <c r="T34" s="211" t="s">
        <v>215</v>
      </c>
      <c r="U34" s="211"/>
      <c r="V34" s="114" t="s">
        <v>216</v>
      </c>
      <c r="W34" s="211" t="s">
        <v>263</v>
      </c>
      <c r="X34" s="211"/>
      <c r="Y34" s="211" t="s">
        <v>271</v>
      </c>
      <c r="Z34" s="211"/>
      <c r="AA34" s="211" t="s">
        <v>274</v>
      </c>
      <c r="AB34" s="211"/>
      <c r="AC34" s="211" t="s">
        <v>309</v>
      </c>
      <c r="AD34" s="211"/>
    </row>
    <row r="35" spans="13:30" ht="16" x14ac:dyDescent="0.35">
      <c r="M35" s="213" t="s">
        <v>207</v>
      </c>
      <c r="N35" s="211" t="s">
        <v>208</v>
      </c>
      <c r="O35" s="211"/>
      <c r="P35" s="211" t="s">
        <v>210</v>
      </c>
      <c r="Q35" s="211"/>
      <c r="R35" s="211" t="s">
        <v>231</v>
      </c>
      <c r="S35" s="211"/>
      <c r="T35" s="211" t="s">
        <v>213</v>
      </c>
      <c r="U35" s="211"/>
      <c r="V35" s="213" t="s">
        <v>207</v>
      </c>
      <c r="W35" s="230" t="s">
        <v>265</v>
      </c>
      <c r="X35" s="230"/>
      <c r="Y35" s="211" t="s">
        <v>272</v>
      </c>
      <c r="Z35" s="211"/>
      <c r="AA35" s="211" t="s">
        <v>275</v>
      </c>
      <c r="AB35" s="211"/>
      <c r="AC35" s="211" t="s">
        <v>310</v>
      </c>
      <c r="AD35" s="211"/>
    </row>
    <row r="36" spans="13:30" x14ac:dyDescent="0.35">
      <c r="M36" s="214"/>
      <c r="N36" s="210" t="s">
        <v>209</v>
      </c>
      <c r="O36" s="210"/>
      <c r="P36" s="210" t="s">
        <v>211</v>
      </c>
      <c r="Q36" s="210"/>
      <c r="R36" s="210" t="s">
        <v>232</v>
      </c>
      <c r="S36" s="210"/>
      <c r="T36" s="210" t="s">
        <v>212</v>
      </c>
      <c r="U36" s="210"/>
      <c r="V36" s="214"/>
      <c r="W36" s="210" t="s">
        <v>264</v>
      </c>
      <c r="X36" s="210"/>
      <c r="Y36" s="210" t="s">
        <v>273</v>
      </c>
      <c r="Z36" s="210"/>
      <c r="AA36" s="210" t="s">
        <v>276</v>
      </c>
      <c r="AB36" s="210"/>
      <c r="AC36" s="210" t="s">
        <v>311</v>
      </c>
      <c r="AD36" s="210"/>
    </row>
    <row r="37" spans="13:30" x14ac:dyDescent="0.35">
      <c r="M37" s="53" t="s">
        <v>186</v>
      </c>
      <c r="N37" s="196" t="s">
        <v>187</v>
      </c>
      <c r="O37" s="197"/>
      <c r="P37" s="197"/>
      <c r="Q37" s="197"/>
      <c r="R37" s="197"/>
      <c r="S37" s="197"/>
      <c r="T37" s="197"/>
      <c r="U37" s="197"/>
      <c r="V37" s="53" t="s">
        <v>186</v>
      </c>
      <c r="W37" s="228" t="s">
        <v>187</v>
      </c>
      <c r="X37" s="229"/>
      <c r="Y37" s="229"/>
      <c r="Z37" s="229"/>
      <c r="AA37" s="229"/>
      <c r="AB37" s="229"/>
      <c r="AC37" s="229"/>
      <c r="AD37" s="229"/>
    </row>
  </sheetData>
  <mergeCells count="94">
    <mergeCell ref="W37:AD37"/>
    <mergeCell ref="D3:F3"/>
    <mergeCell ref="G3:J3"/>
    <mergeCell ref="D9:F9"/>
    <mergeCell ref="G9:J9"/>
    <mergeCell ref="B8:J8"/>
    <mergeCell ref="V35:V36"/>
    <mergeCell ref="W35:X35"/>
    <mergeCell ref="Y35:Z35"/>
    <mergeCell ref="AA35:AB35"/>
    <mergeCell ref="AC35:AD35"/>
    <mergeCell ref="W36:X36"/>
    <mergeCell ref="Y36:Z36"/>
    <mergeCell ref="AA36:AB36"/>
    <mergeCell ref="AC36:AD36"/>
    <mergeCell ref="W33:X33"/>
    <mergeCell ref="Y33:Z33"/>
    <mergeCell ref="AA33:AB33"/>
    <mergeCell ref="AC33:AD33"/>
    <mergeCell ref="W34:X34"/>
    <mergeCell ref="Y34:Z34"/>
    <mergeCell ref="AA34:AB34"/>
    <mergeCell ref="AC34:AD34"/>
    <mergeCell ref="Y31:Z31"/>
    <mergeCell ref="AA31:AB31"/>
    <mergeCell ref="AC31:AD31"/>
    <mergeCell ref="W32:X32"/>
    <mergeCell ref="Y32:Z32"/>
    <mergeCell ref="AA32:AB32"/>
    <mergeCell ref="AC32:AD32"/>
    <mergeCell ref="V21:V22"/>
    <mergeCell ref="V23:V24"/>
    <mergeCell ref="V25:V26"/>
    <mergeCell ref="V27:V28"/>
    <mergeCell ref="W31:X31"/>
    <mergeCell ref="V10:V11"/>
    <mergeCell ref="V12:V13"/>
    <mergeCell ref="V14:V15"/>
    <mergeCell ref="V16:V17"/>
    <mergeCell ref="V19:V20"/>
    <mergeCell ref="N37:U37"/>
    <mergeCell ref="V3:AD3"/>
    <mergeCell ref="W4:AC4"/>
    <mergeCell ref="W5:AD5"/>
    <mergeCell ref="W6:X6"/>
    <mergeCell ref="Y6:Z6"/>
    <mergeCell ref="AA6:AB6"/>
    <mergeCell ref="N34:O34"/>
    <mergeCell ref="P34:Q34"/>
    <mergeCell ref="R34:S34"/>
    <mergeCell ref="T34:U34"/>
    <mergeCell ref="T31:U31"/>
    <mergeCell ref="N32:O32"/>
    <mergeCell ref="V29:V30"/>
    <mergeCell ref="AC6:AD6"/>
    <mergeCell ref="V7:V8"/>
    <mergeCell ref="M35:M36"/>
    <mergeCell ref="N35:O35"/>
    <mergeCell ref="P35:Q35"/>
    <mergeCell ref="R35:S35"/>
    <mergeCell ref="T35:U35"/>
    <mergeCell ref="N36:O36"/>
    <mergeCell ref="P36:Q36"/>
    <mergeCell ref="R36:S36"/>
    <mergeCell ref="T36:U36"/>
    <mergeCell ref="P32:Q32"/>
    <mergeCell ref="R32:S32"/>
    <mergeCell ref="T32:U32"/>
    <mergeCell ref="N33:O33"/>
    <mergeCell ref="P33:Q33"/>
    <mergeCell ref="R33:S33"/>
    <mergeCell ref="T33:U33"/>
    <mergeCell ref="R31:S31"/>
    <mergeCell ref="M12:M13"/>
    <mergeCell ref="M14:M15"/>
    <mergeCell ref="M16:M17"/>
    <mergeCell ref="M19:M20"/>
    <mergeCell ref="M21:M22"/>
    <mergeCell ref="M23:M24"/>
    <mergeCell ref="M25:M26"/>
    <mergeCell ref="M27:M28"/>
    <mergeCell ref="M29:M30"/>
    <mergeCell ref="N31:O31"/>
    <mergeCell ref="P31:Q31"/>
    <mergeCell ref="M7:M8"/>
    <mergeCell ref="M10:M11"/>
    <mergeCell ref="B1:K1"/>
    <mergeCell ref="M3:U3"/>
    <mergeCell ref="N4:T4"/>
    <mergeCell ref="N5:U5"/>
    <mergeCell ref="N6:O6"/>
    <mergeCell ref="P6:Q6"/>
    <mergeCell ref="R6:S6"/>
    <mergeCell ref="T6:U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374A-06DA-450D-9D80-3254F5DB1A36}">
  <dimension ref="A1:V25"/>
  <sheetViews>
    <sheetView topLeftCell="A3" zoomScale="74" zoomScaleNormal="74" workbookViewId="0">
      <selection activeCell="A3" sqref="A3:Q23"/>
    </sheetView>
  </sheetViews>
  <sheetFormatPr baseColWidth="10" defaultRowHeight="14" x14ac:dyDescent="0.3"/>
  <cols>
    <col min="1" max="1" width="21.54296875" style="2" customWidth="1"/>
    <col min="2" max="2" width="3.81640625" style="2" customWidth="1"/>
    <col min="3" max="3" width="11.90625" style="32" customWidth="1"/>
    <col min="4" max="4" width="2.6328125" style="2" customWidth="1"/>
    <col min="5" max="6" width="10.90625" style="2"/>
    <col min="7" max="7" width="11.26953125" style="2" customWidth="1"/>
    <col min="8" max="11" width="10.90625" style="2"/>
    <col min="12" max="12" width="11.90625" style="2" customWidth="1"/>
    <col min="13" max="13" width="10.90625" style="2"/>
    <col min="14" max="14" width="2.54296875" style="2" customWidth="1"/>
    <col min="15" max="16384" width="10.90625" style="2"/>
  </cols>
  <sheetData>
    <row r="1" spans="1:22" x14ac:dyDescent="0.3">
      <c r="A1" s="236" t="s">
        <v>125</v>
      </c>
      <c r="B1" s="236"/>
      <c r="C1" s="236"/>
    </row>
    <row r="3" spans="1:22" x14ac:dyDescent="0.3">
      <c r="A3" s="101" t="s">
        <v>353</v>
      </c>
      <c r="B3" s="33"/>
      <c r="C3" s="35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22" x14ac:dyDescent="0.3">
      <c r="A4" s="238" t="s">
        <v>137</v>
      </c>
      <c r="B4" s="238"/>
      <c r="C4" s="238"/>
      <c r="D4" s="33"/>
      <c r="E4" s="240" t="s">
        <v>138</v>
      </c>
      <c r="F4" s="240"/>
      <c r="G4" s="240"/>
      <c r="H4" s="240"/>
      <c r="I4" s="240"/>
      <c r="J4" s="240"/>
      <c r="K4" s="240"/>
      <c r="L4" s="240"/>
      <c r="M4" s="240"/>
      <c r="N4" s="33"/>
      <c r="O4" s="238" t="s">
        <v>145</v>
      </c>
      <c r="P4" s="238"/>
      <c r="Q4" s="39"/>
      <c r="R4" s="39"/>
      <c r="S4" s="39"/>
      <c r="T4" s="39"/>
      <c r="U4" s="39"/>
      <c r="V4" s="39"/>
    </row>
    <row r="5" spans="1:22" ht="39.5" thickBot="1" x14ac:dyDescent="0.35">
      <c r="A5" s="89"/>
      <c r="B5" s="89"/>
      <c r="C5" s="62" t="s">
        <v>50</v>
      </c>
      <c r="D5" s="63"/>
      <c r="E5" s="63" t="s">
        <v>139</v>
      </c>
      <c r="F5" s="63" t="s">
        <v>140</v>
      </c>
      <c r="G5" s="63" t="s">
        <v>144</v>
      </c>
      <c r="H5" s="63" t="s">
        <v>141</v>
      </c>
      <c r="I5" s="63" t="s">
        <v>88</v>
      </c>
      <c r="J5" s="63" t="s">
        <v>142</v>
      </c>
      <c r="K5" s="62" t="s">
        <v>378</v>
      </c>
      <c r="L5" s="63" t="s">
        <v>379</v>
      </c>
      <c r="M5" s="63" t="s">
        <v>380</v>
      </c>
      <c r="N5" s="63"/>
      <c r="O5" s="63" t="s">
        <v>146</v>
      </c>
      <c r="P5" s="63" t="s">
        <v>147</v>
      </c>
      <c r="Q5" s="33"/>
    </row>
    <row r="6" spans="1:22" ht="7.5" customHeight="1" x14ac:dyDescent="0.3">
      <c r="A6" s="34"/>
      <c r="B6" s="33"/>
      <c r="C6" s="35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22" x14ac:dyDescent="0.3">
      <c r="A7" s="237" t="s">
        <v>126</v>
      </c>
      <c r="B7" s="33"/>
      <c r="C7" s="36">
        <v>0.89200000000000002</v>
      </c>
      <c r="D7" s="33"/>
      <c r="E7" s="36" t="s">
        <v>111</v>
      </c>
      <c r="F7" s="36" t="s">
        <v>111</v>
      </c>
      <c r="G7" s="36" t="s">
        <v>111</v>
      </c>
      <c r="H7" s="36" t="s">
        <v>111</v>
      </c>
      <c r="I7" s="36" t="s">
        <v>111</v>
      </c>
      <c r="J7" s="36" t="s">
        <v>111</v>
      </c>
      <c r="K7" s="36" t="s">
        <v>111</v>
      </c>
      <c r="L7" s="36" t="s">
        <v>111</v>
      </c>
      <c r="M7" s="33"/>
      <c r="N7" s="33"/>
      <c r="O7" s="33" t="s">
        <v>148</v>
      </c>
      <c r="P7" s="33" t="s">
        <v>149</v>
      </c>
      <c r="Q7" s="33"/>
    </row>
    <row r="8" spans="1:22" ht="17" customHeight="1" x14ac:dyDescent="0.3">
      <c r="A8" s="237"/>
      <c r="B8" s="33"/>
      <c r="C8" s="37">
        <v>-0.17399999999999999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22" ht="14" customHeight="1" x14ac:dyDescent="0.3">
      <c r="A9" s="237" t="s">
        <v>130</v>
      </c>
      <c r="B9" s="33"/>
      <c r="C9" s="36" t="s">
        <v>136</v>
      </c>
      <c r="D9" s="33"/>
      <c r="E9" s="33">
        <v>0.29399999999999998</v>
      </c>
      <c r="F9" s="33">
        <v>0.188</v>
      </c>
      <c r="G9" s="33">
        <v>-2E-3</v>
      </c>
      <c r="H9" s="33">
        <v>2.7E-2</v>
      </c>
      <c r="I9" s="33">
        <v>4.8000000000000001E-2</v>
      </c>
      <c r="J9" s="33">
        <v>7.0000000000000001E-3</v>
      </c>
      <c r="K9" s="33">
        <v>0.23400000000000001</v>
      </c>
      <c r="L9" s="33">
        <v>2.9000000000000001E-2</v>
      </c>
      <c r="M9" s="33">
        <v>-0.13</v>
      </c>
      <c r="N9" s="33"/>
      <c r="O9" s="40">
        <v>100</v>
      </c>
      <c r="P9" s="40">
        <v>67.360114777618364</v>
      </c>
      <c r="Q9" s="33"/>
    </row>
    <row r="10" spans="1:22" ht="17" customHeight="1" x14ac:dyDescent="0.3">
      <c r="A10" s="237"/>
      <c r="B10" s="33"/>
      <c r="C10" s="37">
        <v>-0.14299999999999999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40"/>
      <c r="P10" s="40"/>
      <c r="Q10" s="33"/>
    </row>
    <row r="11" spans="1:22" x14ac:dyDescent="0.3">
      <c r="A11" s="38" t="s">
        <v>127</v>
      </c>
      <c r="B11" s="33"/>
      <c r="C11" s="36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40"/>
      <c r="P11" s="40"/>
      <c r="Q11" s="33"/>
    </row>
    <row r="12" spans="1:22" ht="14" customHeight="1" x14ac:dyDescent="0.3">
      <c r="A12" s="237" t="s">
        <v>132</v>
      </c>
      <c r="B12" s="33"/>
      <c r="C12" s="36" t="s">
        <v>136</v>
      </c>
      <c r="D12" s="33"/>
      <c r="E12" s="33">
        <v>-1E-3</v>
      </c>
      <c r="F12" s="33">
        <v>2.9000000000000001E-2</v>
      </c>
      <c r="G12" s="33">
        <v>7.9000000000000001E-2</v>
      </c>
      <c r="H12" s="33">
        <v>-4.1000000000000002E-2</v>
      </c>
      <c r="I12" s="33">
        <v>0.01</v>
      </c>
      <c r="J12" s="33">
        <v>-5.6000000000000001E-2</v>
      </c>
      <c r="K12" s="33">
        <v>1.7000000000000001E-2</v>
      </c>
      <c r="L12" s="33">
        <v>-4.2000000000000003E-2</v>
      </c>
      <c r="M12" s="33">
        <v>-0.04</v>
      </c>
      <c r="N12" s="33"/>
      <c r="O12" s="40">
        <v>100</v>
      </c>
      <c r="P12" s="40">
        <v>39.096126255380206</v>
      </c>
      <c r="Q12" s="33" t="s">
        <v>150</v>
      </c>
    </row>
    <row r="13" spans="1:22" ht="17" customHeight="1" x14ac:dyDescent="0.3">
      <c r="A13" s="237"/>
      <c r="B13" s="33"/>
      <c r="C13" s="37">
        <v>-0.14299999999999999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40"/>
      <c r="P13" s="40"/>
      <c r="Q13" s="33"/>
    </row>
    <row r="14" spans="1:22" ht="14" customHeight="1" x14ac:dyDescent="0.3">
      <c r="A14" s="237" t="s">
        <v>128</v>
      </c>
      <c r="B14" s="33"/>
      <c r="C14" s="36" t="s">
        <v>135</v>
      </c>
      <c r="D14" s="33"/>
      <c r="E14" s="33">
        <v>2E-3</v>
      </c>
      <c r="F14" s="33">
        <v>2.5000000000000001E-2</v>
      </c>
      <c r="G14" s="33">
        <v>7.8E-2</v>
      </c>
      <c r="H14" s="33">
        <v>-9.0999999999999998E-2</v>
      </c>
      <c r="I14" s="33">
        <v>1.2E-2</v>
      </c>
      <c r="J14" s="33">
        <v>-1.7999999999999999E-2</v>
      </c>
      <c r="K14" s="33">
        <v>4.1000000000000002E-2</v>
      </c>
      <c r="L14" s="33">
        <v>7.3999999999999996E-2</v>
      </c>
      <c r="M14" s="33">
        <v>-7.0000000000000001E-3</v>
      </c>
      <c r="N14" s="33"/>
      <c r="O14" s="40">
        <v>79.659211927582533</v>
      </c>
      <c r="P14" s="40">
        <v>53.658536585365859</v>
      </c>
      <c r="Q14" s="33"/>
    </row>
    <row r="15" spans="1:22" ht="17" customHeight="1" x14ac:dyDescent="0.3">
      <c r="A15" s="237"/>
      <c r="B15" s="33"/>
      <c r="C15" s="37">
        <v>-0.17799999999999999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0"/>
      <c r="P15" s="40"/>
      <c r="Q15" s="33"/>
    </row>
    <row r="16" spans="1:22" ht="14" customHeight="1" x14ac:dyDescent="0.3">
      <c r="A16" s="237" t="s">
        <v>183</v>
      </c>
      <c r="B16" s="33"/>
      <c r="C16" s="36" t="s">
        <v>135</v>
      </c>
      <c r="D16" s="33"/>
      <c r="E16" s="33">
        <v>-1E-4</v>
      </c>
      <c r="F16" s="33">
        <v>2.5999999999999999E-2</v>
      </c>
      <c r="G16" s="33">
        <v>0.06</v>
      </c>
      <c r="H16" s="33">
        <v>-4.7E-2</v>
      </c>
      <c r="I16" s="33">
        <v>1.2E-2</v>
      </c>
      <c r="J16" s="33">
        <v>-5.0999999999999997E-2</v>
      </c>
      <c r="K16" s="33">
        <v>2.3E-2</v>
      </c>
      <c r="L16" s="33">
        <v>-2.1999999999999999E-2</v>
      </c>
      <c r="M16" s="33">
        <v>-0.04</v>
      </c>
      <c r="N16" s="33"/>
      <c r="O16" s="40">
        <v>100</v>
      </c>
      <c r="P16" s="40">
        <v>63.05595408895266</v>
      </c>
      <c r="Q16" s="33" t="s">
        <v>150</v>
      </c>
    </row>
    <row r="17" spans="1:17" ht="17" customHeight="1" x14ac:dyDescent="0.3">
      <c r="A17" s="237"/>
      <c r="B17" s="33"/>
      <c r="C17" s="37">
        <v>-0.17799999999999999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40"/>
      <c r="P17" s="40"/>
      <c r="Q17" s="33"/>
    </row>
    <row r="18" spans="1:17" x14ac:dyDescent="0.3">
      <c r="A18" s="38" t="s">
        <v>131</v>
      </c>
      <c r="B18" s="33"/>
      <c r="C18" s="36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40"/>
      <c r="P18" s="40"/>
      <c r="Q18" s="33"/>
    </row>
    <row r="19" spans="1:17" ht="15.5" x14ac:dyDescent="0.3">
      <c r="A19" s="239" t="s">
        <v>129</v>
      </c>
      <c r="B19" s="33"/>
      <c r="C19" s="36" t="s">
        <v>134</v>
      </c>
      <c r="D19" s="33"/>
      <c r="E19" s="33">
        <v>-1E-4</v>
      </c>
      <c r="F19" s="33">
        <v>6.0000000000000001E-3</v>
      </c>
      <c r="G19" s="33">
        <v>4.9000000000000002E-2</v>
      </c>
      <c r="H19" s="33">
        <v>-3.4000000000000002E-2</v>
      </c>
      <c r="I19" s="33">
        <v>8.0000000000000002E-3</v>
      </c>
      <c r="J19" s="33">
        <v>-4.4999999999999998E-2</v>
      </c>
      <c r="K19" s="33">
        <v>-3.7999999999999999E-2</v>
      </c>
      <c r="L19" s="33">
        <v>3.1E-2</v>
      </c>
      <c r="M19" s="33">
        <v>-2.8000000000000001E-2</v>
      </c>
      <c r="N19" s="33"/>
      <c r="O19" s="40">
        <v>97.124600638977626</v>
      </c>
      <c r="P19" s="40">
        <v>99.139167862266859</v>
      </c>
      <c r="Q19" s="33" t="s">
        <v>150</v>
      </c>
    </row>
    <row r="20" spans="1:17" ht="17" customHeight="1" x14ac:dyDescent="0.3">
      <c r="A20" s="239"/>
      <c r="B20" s="33"/>
      <c r="C20" s="37">
        <v>-0.19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40"/>
      <c r="P20" s="40"/>
      <c r="Q20" s="33"/>
    </row>
    <row r="21" spans="1:17" ht="15.5" x14ac:dyDescent="0.3">
      <c r="A21" s="237" t="s">
        <v>182</v>
      </c>
      <c r="B21" s="33"/>
      <c r="C21" s="36" t="s">
        <v>133</v>
      </c>
      <c r="D21" s="33"/>
      <c r="E21" s="33">
        <v>0.34799999999999998</v>
      </c>
      <c r="F21" s="33">
        <v>0.188</v>
      </c>
      <c r="G21" s="33">
        <v>-3.7900000000000003E-2</v>
      </c>
      <c r="H21" s="33">
        <v>9.0999999999999998E-2</v>
      </c>
      <c r="I21" s="33">
        <v>1.0999999999999999E-2</v>
      </c>
      <c r="J21" s="33">
        <v>6.4000000000000001E-2</v>
      </c>
      <c r="K21" s="33">
        <v>0.22900000000000001</v>
      </c>
      <c r="L21" s="33">
        <v>-0.01</v>
      </c>
      <c r="M21" s="33">
        <v>-0.17799999999999999</v>
      </c>
      <c r="N21" s="33"/>
      <c r="O21" s="40">
        <v>100</v>
      </c>
      <c r="P21" s="40">
        <v>67.360114777618364</v>
      </c>
      <c r="Q21" s="33"/>
    </row>
    <row r="22" spans="1:17" ht="17" customHeight="1" x14ac:dyDescent="0.3">
      <c r="A22" s="237"/>
      <c r="B22" s="33"/>
      <c r="C22" s="37">
        <v>-0.11600000000000001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ht="14.5" customHeight="1" x14ac:dyDescent="0.3">
      <c r="A23" s="187" t="s">
        <v>381</v>
      </c>
      <c r="B23" s="187"/>
      <c r="C23" s="187"/>
      <c r="D23" s="187"/>
      <c r="E23" s="241"/>
      <c r="F23" s="241"/>
      <c r="G23" s="241"/>
      <c r="H23" s="241"/>
      <c r="I23" s="228" t="s">
        <v>187</v>
      </c>
      <c r="J23" s="228"/>
      <c r="K23" s="228"/>
      <c r="L23" s="228"/>
      <c r="M23" s="228"/>
      <c r="N23" s="228"/>
      <c r="O23" s="228"/>
      <c r="P23" s="228"/>
      <c r="Q23" s="33"/>
    </row>
    <row r="24" spans="1:17" ht="14" customHeight="1" x14ac:dyDescent="0.3">
      <c r="A24" s="33"/>
      <c r="B24" s="33"/>
      <c r="C24" s="35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x14ac:dyDescent="0.3">
      <c r="A25" s="33"/>
      <c r="B25" s="33"/>
      <c r="C25" s="35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</sheetData>
  <mergeCells count="14">
    <mergeCell ref="I23:P23"/>
    <mergeCell ref="O4:P4"/>
    <mergeCell ref="A16:A17"/>
    <mergeCell ref="A19:A20"/>
    <mergeCell ref="A21:A22"/>
    <mergeCell ref="A4:C4"/>
    <mergeCell ref="E4:M4"/>
    <mergeCell ref="A23:D23"/>
    <mergeCell ref="E23:H23"/>
    <mergeCell ref="A1:C1"/>
    <mergeCell ref="A7:A8"/>
    <mergeCell ref="A9:A10"/>
    <mergeCell ref="A12:A13"/>
    <mergeCell ref="A14:A1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99F0-D7C4-4F5A-898B-9D8D1152B998}">
  <dimension ref="B3:K17"/>
  <sheetViews>
    <sheetView workbookViewId="0">
      <selection activeCell="B17" sqref="B17:H17"/>
    </sheetView>
  </sheetViews>
  <sheetFormatPr baseColWidth="10" defaultColWidth="8.7265625" defaultRowHeight="14.5" x14ac:dyDescent="0.35"/>
  <cols>
    <col min="8" max="8" width="11.6328125" customWidth="1"/>
  </cols>
  <sheetData>
    <row r="3" spans="2:11" ht="15.5" x14ac:dyDescent="0.35">
      <c r="B3" s="242" t="s">
        <v>363</v>
      </c>
      <c r="C3" s="242"/>
      <c r="D3" s="242"/>
      <c r="E3" s="242"/>
      <c r="F3" s="242"/>
      <c r="G3" s="242"/>
      <c r="H3" s="242"/>
    </row>
    <row r="4" spans="2:11" ht="15.5" thickBot="1" x14ac:dyDescent="0.4">
      <c r="B4" s="243" t="s">
        <v>74</v>
      </c>
      <c r="C4" s="243"/>
      <c r="D4" s="243" t="s">
        <v>77</v>
      </c>
      <c r="E4" s="243"/>
      <c r="F4" s="243"/>
      <c r="G4" s="243"/>
      <c r="H4" s="243"/>
    </row>
    <row r="5" spans="2:11" ht="14.5" customHeight="1" x14ac:dyDescent="0.35">
      <c r="B5" s="244" t="s">
        <v>68</v>
      </c>
      <c r="C5" s="244"/>
      <c r="D5" s="245" t="s">
        <v>71</v>
      </c>
      <c r="E5" s="245"/>
      <c r="F5" s="245"/>
      <c r="G5" s="245"/>
      <c r="H5" s="245"/>
    </row>
    <row r="6" spans="2:11" x14ac:dyDescent="0.35">
      <c r="B6" s="244"/>
      <c r="C6" s="244"/>
      <c r="D6" s="246" t="s">
        <v>72</v>
      </c>
      <c r="E6" s="246"/>
      <c r="F6" s="246"/>
      <c r="G6" s="246"/>
      <c r="H6" s="246"/>
    </row>
    <row r="7" spans="2:11" x14ac:dyDescent="0.35">
      <c r="B7" s="244"/>
      <c r="C7" s="244"/>
      <c r="D7" s="246" t="s">
        <v>73</v>
      </c>
      <c r="E7" s="246"/>
      <c r="F7" s="246"/>
      <c r="G7" s="246"/>
      <c r="H7" s="246"/>
    </row>
    <row r="8" spans="2:11" x14ac:dyDescent="0.35">
      <c r="B8" s="244"/>
      <c r="C8" s="244"/>
      <c r="D8" s="246" t="s">
        <v>75</v>
      </c>
      <c r="E8" s="246"/>
      <c r="F8" s="246"/>
      <c r="G8" s="246"/>
      <c r="H8" s="246"/>
    </row>
    <row r="9" spans="2:11" x14ac:dyDescent="0.35">
      <c r="B9" s="244"/>
      <c r="C9" s="244"/>
      <c r="D9" s="11" t="s">
        <v>192</v>
      </c>
      <c r="E9" s="11"/>
      <c r="F9" s="11"/>
      <c r="G9" s="11"/>
      <c r="H9" s="11"/>
    </row>
    <row r="10" spans="2:11" x14ac:dyDescent="0.35">
      <c r="B10" s="244"/>
      <c r="C10" s="244"/>
      <c r="D10" s="247" t="s">
        <v>193</v>
      </c>
      <c r="E10" s="247"/>
      <c r="F10" s="247"/>
      <c r="G10" s="247"/>
      <c r="H10" s="247"/>
    </row>
    <row r="11" spans="2:11" x14ac:dyDescent="0.35">
      <c r="B11" s="244"/>
      <c r="C11" s="244"/>
      <c r="D11" s="247" t="s">
        <v>88</v>
      </c>
      <c r="E11" s="247"/>
      <c r="F11" s="247"/>
      <c r="G11" s="247"/>
      <c r="H11" s="247"/>
    </row>
    <row r="12" spans="2:11" x14ac:dyDescent="0.35">
      <c r="B12" s="244"/>
      <c r="C12" s="244"/>
      <c r="D12" s="246" t="s">
        <v>159</v>
      </c>
      <c r="E12" s="246"/>
      <c r="F12" s="246"/>
      <c r="G12" s="246"/>
      <c r="H12" s="246"/>
    </row>
    <row r="13" spans="2:11" ht="14.5" customHeight="1" x14ac:dyDescent="0.35">
      <c r="B13" s="244" t="s">
        <v>69</v>
      </c>
      <c r="C13" s="244"/>
      <c r="D13" s="247" t="s">
        <v>76</v>
      </c>
      <c r="E13" s="247"/>
      <c r="F13" s="247"/>
      <c r="G13" s="247"/>
      <c r="H13" s="247"/>
    </row>
    <row r="14" spans="2:11" x14ac:dyDescent="0.35">
      <c r="B14" s="244"/>
      <c r="C14" s="244"/>
      <c r="D14" s="247" t="s">
        <v>190</v>
      </c>
      <c r="E14" s="247"/>
      <c r="F14" s="247"/>
      <c r="G14" s="247"/>
      <c r="H14" s="247"/>
    </row>
    <row r="15" spans="2:11" x14ac:dyDescent="0.35">
      <c r="B15" s="244"/>
      <c r="C15" s="244"/>
      <c r="D15" s="247" t="s">
        <v>191</v>
      </c>
      <c r="E15" s="247"/>
      <c r="F15" s="247"/>
      <c r="G15" s="247"/>
      <c r="H15" s="247"/>
    </row>
    <row r="16" spans="2:11" ht="14.5" customHeight="1" thickBot="1" x14ac:dyDescent="0.4">
      <c r="B16" s="249"/>
      <c r="C16" s="249"/>
      <c r="D16" s="247" t="s">
        <v>70</v>
      </c>
      <c r="E16" s="247"/>
      <c r="F16" s="247"/>
      <c r="G16" s="247"/>
      <c r="H16" s="247"/>
      <c r="K16" s="61"/>
    </row>
    <row r="17" spans="2:8" x14ac:dyDescent="0.35">
      <c r="B17" s="248" t="s">
        <v>189</v>
      </c>
      <c r="C17" s="248"/>
      <c r="D17" s="248"/>
      <c r="E17" s="248"/>
      <c r="F17" s="248"/>
      <c r="G17" s="248"/>
      <c r="H17" s="248"/>
    </row>
  </sheetData>
  <mergeCells count="17">
    <mergeCell ref="B17:H17"/>
    <mergeCell ref="B13:C16"/>
    <mergeCell ref="D16:H16"/>
    <mergeCell ref="D10:H10"/>
    <mergeCell ref="D12:H12"/>
    <mergeCell ref="D13:H13"/>
    <mergeCell ref="D14:H14"/>
    <mergeCell ref="D15:H15"/>
    <mergeCell ref="B3:H3"/>
    <mergeCell ref="B4:C4"/>
    <mergeCell ref="D4:H4"/>
    <mergeCell ref="B5:C12"/>
    <mergeCell ref="D5:H5"/>
    <mergeCell ref="D6:H6"/>
    <mergeCell ref="D11:H11"/>
    <mergeCell ref="D7:H7"/>
    <mergeCell ref="D8:H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6F14-D477-40C0-8346-0B14E9BF5222}">
  <sheetPr>
    <tabColor rgb="FF90B09C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FE91-E6A9-44B3-886B-1DBD4A53E247}">
  <dimension ref="A1:L16"/>
  <sheetViews>
    <sheetView zoomScale="55" zoomScaleNormal="55" workbookViewId="0">
      <selection activeCell="Q24" sqref="Q24"/>
    </sheetView>
  </sheetViews>
  <sheetFormatPr baseColWidth="10" defaultRowHeight="14.5" x14ac:dyDescent="0.35"/>
  <sheetData>
    <row r="1" spans="1:12" x14ac:dyDescent="0.35">
      <c r="A1" t="s">
        <v>123</v>
      </c>
    </row>
    <row r="3" spans="1:12" x14ac:dyDescent="0.35">
      <c r="A3" t="s">
        <v>116</v>
      </c>
      <c r="B3" s="31">
        <v>40179</v>
      </c>
      <c r="C3" s="31">
        <v>40544</v>
      </c>
      <c r="D3" s="31">
        <v>40909</v>
      </c>
      <c r="E3" s="31">
        <v>41275</v>
      </c>
      <c r="F3" s="31">
        <v>41640</v>
      </c>
      <c r="G3" s="31">
        <v>42005</v>
      </c>
      <c r="H3" s="31">
        <v>42370</v>
      </c>
      <c r="I3" s="31">
        <v>42736</v>
      </c>
      <c r="J3" s="31">
        <v>43101</v>
      </c>
      <c r="K3" s="31">
        <v>43466</v>
      </c>
      <c r="L3" s="31">
        <v>43831</v>
      </c>
    </row>
    <row r="4" spans="1:12" x14ac:dyDescent="0.35">
      <c r="A4" t="s">
        <v>117</v>
      </c>
      <c r="B4">
        <v>823233.58173074399</v>
      </c>
      <c r="C4">
        <v>921057.82608683105</v>
      </c>
      <c r="D4">
        <v>986516.58334445197</v>
      </c>
      <c r="E4">
        <v>1031821.2611102</v>
      </c>
      <c r="F4">
        <v>1053155.2744863699</v>
      </c>
      <c r="G4">
        <v>909602.811334542</v>
      </c>
      <c r="H4">
        <v>627905.77676306095</v>
      </c>
      <c r="I4">
        <v>614482.81654588296</v>
      </c>
      <c r="J4">
        <v>563684.16001811798</v>
      </c>
      <c r="K4">
        <v>673879.298415825</v>
      </c>
      <c r="L4">
        <v>461760.57888888899</v>
      </c>
    </row>
    <row r="5" spans="1:12" x14ac:dyDescent="0.35">
      <c r="A5" t="s">
        <v>118</v>
      </c>
      <c r="B5">
        <v>760384.77518172201</v>
      </c>
      <c r="C5">
        <v>712496.12112455699</v>
      </c>
      <c r="D5">
        <v>761305.52421920502</v>
      </c>
      <c r="E5">
        <v>1270028.3146307899</v>
      </c>
      <c r="F5">
        <v>1194457.32454321</v>
      </c>
      <c r="G5">
        <v>1021924.00965422</v>
      </c>
      <c r="H5">
        <v>860288.64546113799</v>
      </c>
      <c r="I5">
        <v>835014.36320789298</v>
      </c>
      <c r="J5">
        <v>714434.04825629201</v>
      </c>
      <c r="K5">
        <v>764897.30047556199</v>
      </c>
      <c r="L5">
        <v>639313.65500000003</v>
      </c>
    </row>
    <row r="6" spans="1:12" x14ac:dyDescent="0.35">
      <c r="A6" t="s">
        <v>119</v>
      </c>
      <c r="B6">
        <v>413062.25897391402</v>
      </c>
      <c r="C6">
        <v>346267.64517007</v>
      </c>
      <c r="D6">
        <v>366643.842107451</v>
      </c>
      <c r="E6">
        <v>246951.31446631701</v>
      </c>
      <c r="F6">
        <v>196842.16116187299</v>
      </c>
      <c r="G6">
        <v>144087.981987582</v>
      </c>
      <c r="H6">
        <v>58154.241082316803</v>
      </c>
      <c r="I6">
        <v>25851.3840605365</v>
      </c>
      <c r="J6">
        <v>15734.4947446404</v>
      </c>
      <c r="K6">
        <v>24670.0610645581</v>
      </c>
      <c r="L6">
        <v>25750.356666666699</v>
      </c>
    </row>
    <row r="7" spans="1:12" x14ac:dyDescent="0.35">
      <c r="A7" t="s">
        <v>120</v>
      </c>
      <c r="B7">
        <v>809293.81371776504</v>
      </c>
      <c r="C7">
        <v>844145.658426699</v>
      </c>
      <c r="D7">
        <v>777302.32986596704</v>
      </c>
      <c r="E7">
        <v>647861.39385727199</v>
      </c>
      <c r="F7">
        <v>695142.00250693399</v>
      </c>
      <c r="G7">
        <v>556514.31680305302</v>
      </c>
      <c r="H7">
        <v>355174.585804231</v>
      </c>
      <c r="I7">
        <v>340859.99031140201</v>
      </c>
      <c r="J7">
        <v>306529.17260748497</v>
      </c>
      <c r="K7">
        <v>335284.446711344</v>
      </c>
      <c r="L7">
        <v>263349.45584615401</v>
      </c>
    </row>
    <row r="8" spans="1:12" x14ac:dyDescent="0.35">
      <c r="A8" t="s">
        <v>121</v>
      </c>
      <c r="B8">
        <v>1529837.2665079499</v>
      </c>
      <c r="C8">
        <v>1439850.02794976</v>
      </c>
      <c r="D8">
        <v>1430325.71362847</v>
      </c>
      <c r="E8">
        <v>1307974.9200108801</v>
      </c>
      <c r="F8">
        <v>1361797.4719549301</v>
      </c>
      <c r="G8">
        <v>1099371.2472627501</v>
      </c>
      <c r="H8">
        <v>753121.30220047699</v>
      </c>
      <c r="I8">
        <v>622979.83999020897</v>
      </c>
      <c r="J8">
        <v>642239.885611112</v>
      </c>
      <c r="K8">
        <v>791476.27828674798</v>
      </c>
      <c r="L8">
        <v>526220.49146341498</v>
      </c>
    </row>
    <row r="9" spans="1:12" x14ac:dyDescent="0.35">
      <c r="A9" t="s">
        <v>122</v>
      </c>
      <c r="B9">
        <v>782109.24416733196</v>
      </c>
      <c r="C9">
        <v>546973.63779863995</v>
      </c>
      <c r="D9">
        <v>609905.03420333494</v>
      </c>
      <c r="E9">
        <v>513206.642228554</v>
      </c>
      <c r="F9">
        <v>685486.10261097795</v>
      </c>
      <c r="G9">
        <v>394358.93188537599</v>
      </c>
      <c r="H9">
        <v>370516.42930167401</v>
      </c>
      <c r="I9">
        <v>317796.929249654</v>
      </c>
      <c r="J9">
        <v>265195.78727735498</v>
      </c>
      <c r="K9">
        <v>338735.33734703402</v>
      </c>
      <c r="L9">
        <v>216705.582222222</v>
      </c>
    </row>
    <row r="10" spans="1:12" x14ac:dyDescent="0.35">
      <c r="A10" t="s">
        <v>124</v>
      </c>
    </row>
    <row r="11" spans="1:12" x14ac:dyDescent="0.35">
      <c r="A11" t="s">
        <v>117</v>
      </c>
      <c r="B11" s="250">
        <f>B4/1000</f>
        <v>823.23358173074394</v>
      </c>
      <c r="C11" s="250">
        <f t="shared" ref="C11:L11" si="0">C4/1000</f>
        <v>921.05782608683103</v>
      </c>
      <c r="D11" s="250">
        <f t="shared" si="0"/>
        <v>986.51658334445199</v>
      </c>
      <c r="E11" s="250">
        <f t="shared" si="0"/>
        <v>1031.8212611101999</v>
      </c>
      <c r="F11" s="250">
        <f t="shared" si="0"/>
        <v>1053.15527448637</v>
      </c>
      <c r="G11" s="250">
        <f t="shared" si="0"/>
        <v>909.60281133454203</v>
      </c>
      <c r="H11" s="250">
        <f t="shared" si="0"/>
        <v>627.905776763061</v>
      </c>
      <c r="I11" s="250">
        <f t="shared" si="0"/>
        <v>614.482816545883</v>
      </c>
      <c r="J11" s="250">
        <f t="shared" si="0"/>
        <v>563.68416001811795</v>
      </c>
      <c r="K11" s="250">
        <f t="shared" si="0"/>
        <v>673.87929841582502</v>
      </c>
      <c r="L11" s="250">
        <f t="shared" si="0"/>
        <v>461.76057888888897</v>
      </c>
    </row>
    <row r="12" spans="1:12" x14ac:dyDescent="0.35">
      <c r="A12" t="s">
        <v>118</v>
      </c>
      <c r="B12" s="250">
        <f t="shared" ref="B12:L16" si="1">B5/1000</f>
        <v>760.38477518172203</v>
      </c>
      <c r="C12" s="250">
        <f t="shared" si="1"/>
        <v>712.49612112455702</v>
      </c>
      <c r="D12" s="250">
        <f t="shared" si="1"/>
        <v>761.30552421920504</v>
      </c>
      <c r="E12" s="250">
        <f t="shared" si="1"/>
        <v>1270.02831463079</v>
      </c>
      <c r="F12" s="250">
        <f t="shared" si="1"/>
        <v>1194.45732454321</v>
      </c>
      <c r="G12" s="250">
        <f t="shared" si="1"/>
        <v>1021.92400965422</v>
      </c>
      <c r="H12" s="250">
        <f t="shared" si="1"/>
        <v>860.288645461138</v>
      </c>
      <c r="I12" s="250">
        <f t="shared" si="1"/>
        <v>835.01436320789298</v>
      </c>
      <c r="J12" s="250">
        <f t="shared" si="1"/>
        <v>714.43404825629204</v>
      </c>
      <c r="K12" s="250">
        <f t="shared" si="1"/>
        <v>764.89730047556202</v>
      </c>
      <c r="L12" s="250">
        <f t="shared" si="1"/>
        <v>639.31365500000004</v>
      </c>
    </row>
    <row r="13" spans="1:12" x14ac:dyDescent="0.35">
      <c r="A13" t="s">
        <v>119</v>
      </c>
      <c r="B13" s="250">
        <f t="shared" si="1"/>
        <v>413.06225897391403</v>
      </c>
      <c r="C13" s="250">
        <f t="shared" si="1"/>
        <v>346.26764517007001</v>
      </c>
      <c r="D13" s="250">
        <f t="shared" si="1"/>
        <v>366.64384210745101</v>
      </c>
      <c r="E13" s="250">
        <f t="shared" si="1"/>
        <v>246.951314466317</v>
      </c>
      <c r="F13" s="250">
        <f t="shared" si="1"/>
        <v>196.84216116187301</v>
      </c>
      <c r="G13" s="250">
        <f t="shared" si="1"/>
        <v>144.087981987582</v>
      </c>
      <c r="H13" s="250">
        <f t="shared" si="1"/>
        <v>58.154241082316801</v>
      </c>
      <c r="I13" s="250">
        <f t="shared" si="1"/>
        <v>25.8513840605365</v>
      </c>
      <c r="J13" s="250">
        <f t="shared" si="1"/>
        <v>15.734494744640401</v>
      </c>
      <c r="K13" s="250">
        <f t="shared" si="1"/>
        <v>24.670061064558102</v>
      </c>
      <c r="L13" s="250">
        <f t="shared" si="1"/>
        <v>25.750356666666701</v>
      </c>
    </row>
    <row r="14" spans="1:12" x14ac:dyDescent="0.35">
      <c r="A14" t="s">
        <v>120</v>
      </c>
      <c r="B14" s="250">
        <f t="shared" si="1"/>
        <v>809.29381371776503</v>
      </c>
      <c r="C14" s="250">
        <f t="shared" si="1"/>
        <v>844.14565842669901</v>
      </c>
      <c r="D14" s="250">
        <f t="shared" si="1"/>
        <v>777.30232986596707</v>
      </c>
      <c r="E14" s="250">
        <f t="shared" si="1"/>
        <v>647.86139385727199</v>
      </c>
      <c r="F14" s="250">
        <f t="shared" si="1"/>
        <v>695.14200250693398</v>
      </c>
      <c r="G14" s="250">
        <f t="shared" si="1"/>
        <v>556.51431680305302</v>
      </c>
      <c r="H14" s="250">
        <f t="shared" si="1"/>
        <v>355.17458580423101</v>
      </c>
      <c r="I14" s="250">
        <f t="shared" si="1"/>
        <v>340.85999031140199</v>
      </c>
      <c r="J14" s="250">
        <f t="shared" si="1"/>
        <v>306.52917260748495</v>
      </c>
      <c r="K14" s="250">
        <f t="shared" si="1"/>
        <v>335.284446711344</v>
      </c>
      <c r="L14" s="250">
        <f t="shared" si="1"/>
        <v>263.349455846154</v>
      </c>
    </row>
    <row r="15" spans="1:12" x14ac:dyDescent="0.35">
      <c r="A15" t="s">
        <v>121</v>
      </c>
      <c r="B15" s="250">
        <f t="shared" si="1"/>
        <v>1529.8372665079498</v>
      </c>
      <c r="C15" s="250">
        <f t="shared" si="1"/>
        <v>1439.85002794976</v>
      </c>
      <c r="D15" s="250">
        <f t="shared" si="1"/>
        <v>1430.3257136284699</v>
      </c>
      <c r="E15" s="250">
        <f t="shared" si="1"/>
        <v>1307.9749200108802</v>
      </c>
      <c r="F15" s="250">
        <f t="shared" si="1"/>
        <v>1361.7974719549302</v>
      </c>
      <c r="G15" s="250">
        <f t="shared" si="1"/>
        <v>1099.3712472627501</v>
      </c>
      <c r="H15" s="250">
        <f t="shared" si="1"/>
        <v>753.12130220047698</v>
      </c>
      <c r="I15" s="250">
        <f t="shared" si="1"/>
        <v>622.97983999020903</v>
      </c>
      <c r="J15" s="250">
        <f t="shared" si="1"/>
        <v>642.23988561111196</v>
      </c>
      <c r="K15" s="250">
        <f t="shared" si="1"/>
        <v>791.47627828674797</v>
      </c>
      <c r="L15" s="250">
        <f t="shared" si="1"/>
        <v>526.22049146341499</v>
      </c>
    </row>
    <row r="16" spans="1:12" x14ac:dyDescent="0.35">
      <c r="A16" t="s">
        <v>122</v>
      </c>
      <c r="B16" s="250">
        <f t="shared" si="1"/>
        <v>782.10924416733201</v>
      </c>
      <c r="C16" s="250">
        <f t="shared" si="1"/>
        <v>546.97363779863997</v>
      </c>
      <c r="D16" s="250">
        <f t="shared" si="1"/>
        <v>609.90503420333494</v>
      </c>
      <c r="E16" s="250">
        <f t="shared" si="1"/>
        <v>513.20664222855396</v>
      </c>
      <c r="F16" s="250">
        <f t="shared" si="1"/>
        <v>685.48610261097792</v>
      </c>
      <c r="G16" s="250">
        <f t="shared" si="1"/>
        <v>394.35893188537597</v>
      </c>
      <c r="H16" s="250">
        <f t="shared" si="1"/>
        <v>370.51642930167401</v>
      </c>
      <c r="I16" s="250">
        <f t="shared" si="1"/>
        <v>317.796929249654</v>
      </c>
      <c r="J16" s="250">
        <f t="shared" si="1"/>
        <v>265.19578727735495</v>
      </c>
      <c r="K16" s="250">
        <f t="shared" si="1"/>
        <v>338.73533734703403</v>
      </c>
      <c r="L16" s="250">
        <f t="shared" si="1"/>
        <v>216.70558222222201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BE48-8F8A-4925-AAE6-10B40E8FC4E9}">
  <dimension ref="A1:M12"/>
  <sheetViews>
    <sheetView zoomScale="55" zoomScaleNormal="55" workbookViewId="0">
      <selection activeCell="B10" sqref="B10"/>
    </sheetView>
  </sheetViews>
  <sheetFormatPr baseColWidth="10" defaultRowHeight="14.5" x14ac:dyDescent="0.35"/>
  <sheetData>
    <row r="1" spans="1:13" x14ac:dyDescent="0.35">
      <c r="A1" t="s">
        <v>123</v>
      </c>
    </row>
    <row r="2" spans="1:13" x14ac:dyDescent="0.35">
      <c r="B2" s="31">
        <v>40179</v>
      </c>
      <c r="C2" s="31">
        <v>40544</v>
      </c>
      <c r="D2" s="31">
        <v>40909</v>
      </c>
      <c r="E2" s="31">
        <v>41275</v>
      </c>
      <c r="F2" s="31">
        <v>41640</v>
      </c>
      <c r="G2" s="31">
        <v>42005</v>
      </c>
      <c r="H2" s="31">
        <v>42370</v>
      </c>
      <c r="I2" s="31">
        <v>42736</v>
      </c>
      <c r="J2" s="31">
        <v>43101</v>
      </c>
      <c r="K2" s="31">
        <v>43466</v>
      </c>
      <c r="L2" s="31">
        <v>43831</v>
      </c>
    </row>
    <row r="3" spans="1:13" x14ac:dyDescent="0.35">
      <c r="A3" t="s">
        <v>354</v>
      </c>
      <c r="B3">
        <v>250005.7</v>
      </c>
      <c r="C3">
        <v>251344.3</v>
      </c>
      <c r="D3">
        <v>251344.3</v>
      </c>
      <c r="E3">
        <v>251747.7</v>
      </c>
      <c r="F3">
        <v>251747.7</v>
      </c>
      <c r="G3">
        <v>251747.7</v>
      </c>
      <c r="H3">
        <v>251839</v>
      </c>
      <c r="I3">
        <v>760221.8</v>
      </c>
      <c r="J3">
        <v>908309.6</v>
      </c>
      <c r="K3">
        <v>908309.6</v>
      </c>
      <c r="L3">
        <v>908309.6</v>
      </c>
    </row>
    <row r="4" spans="1:13" x14ac:dyDescent="0.35">
      <c r="A4" t="s">
        <v>355</v>
      </c>
      <c r="B4">
        <v>42013.93</v>
      </c>
      <c r="C4">
        <v>42013.93</v>
      </c>
      <c r="D4">
        <v>42013.93</v>
      </c>
      <c r="E4">
        <v>42346.82</v>
      </c>
      <c r="F4">
        <v>42346.82</v>
      </c>
      <c r="G4">
        <v>42346.82</v>
      </c>
      <c r="H4">
        <v>42346.82</v>
      </c>
      <c r="I4">
        <v>546653.5</v>
      </c>
      <c r="J4">
        <v>694586.1</v>
      </c>
      <c r="K4">
        <v>694586.1</v>
      </c>
      <c r="L4">
        <v>694586.1</v>
      </c>
    </row>
    <row r="5" spans="1:13" x14ac:dyDescent="0.35">
      <c r="A5" t="s">
        <v>356</v>
      </c>
      <c r="B5">
        <v>207991.8</v>
      </c>
      <c r="C5">
        <v>209330.4</v>
      </c>
      <c r="D5">
        <v>209330.4</v>
      </c>
      <c r="E5">
        <v>209400.9</v>
      </c>
      <c r="F5">
        <v>209400.9</v>
      </c>
      <c r="G5">
        <v>209400.9</v>
      </c>
      <c r="H5">
        <v>209492.1</v>
      </c>
      <c r="I5">
        <v>213568.3</v>
      </c>
      <c r="J5">
        <v>213723.5</v>
      </c>
      <c r="K5">
        <v>213723.5</v>
      </c>
      <c r="L5">
        <v>213723.5</v>
      </c>
    </row>
    <row r="6" spans="1:13" x14ac:dyDescent="0.35">
      <c r="A6" t="s">
        <v>357</v>
      </c>
      <c r="B6">
        <v>152698045.84169701</v>
      </c>
      <c r="C6">
        <v>152696499.822254</v>
      </c>
      <c r="D6">
        <v>153893505.8522</v>
      </c>
      <c r="E6">
        <v>142725655.56666201</v>
      </c>
      <c r="F6">
        <v>151128803.52706599</v>
      </c>
      <c r="G6">
        <v>122513722.677385</v>
      </c>
      <c r="H6">
        <v>83689959.330620199</v>
      </c>
      <c r="I6">
        <v>77843423.283999503</v>
      </c>
      <c r="J6">
        <v>72459409.372539699</v>
      </c>
      <c r="K6">
        <v>84498807.260052904</v>
      </c>
      <c r="L6">
        <v>60075678.399999999</v>
      </c>
    </row>
    <row r="8" spans="1:13" x14ac:dyDescent="0.35">
      <c r="A8" t="s">
        <v>358</v>
      </c>
    </row>
    <row r="9" spans="1:13" x14ac:dyDescent="0.35">
      <c r="A9" t="s">
        <v>89</v>
      </c>
      <c r="B9">
        <f>B$6/B3</f>
        <v>610.77825762251416</v>
      </c>
      <c r="C9">
        <f t="shared" ref="C9:K9" si="0">C$6/C3</f>
        <v>607.51924679514912</v>
      </c>
      <c r="D9">
        <f t="shared" si="0"/>
        <v>612.28166245345528</v>
      </c>
      <c r="E9">
        <f t="shared" si="0"/>
        <v>566.93926326501492</v>
      </c>
      <c r="F9">
        <f t="shared" si="0"/>
        <v>600.31850748612987</v>
      </c>
      <c r="G9">
        <f t="shared" si="0"/>
        <v>486.65279832699565</v>
      </c>
      <c r="H9">
        <f t="shared" si="0"/>
        <v>332.31532578599899</v>
      </c>
      <c r="I9">
        <f t="shared" si="0"/>
        <v>102.39567358368242</v>
      </c>
      <c r="J9">
        <f t="shared" si="0"/>
        <v>79.773911200035428</v>
      </c>
      <c r="K9">
        <f t="shared" si="0"/>
        <v>93.028640520867455</v>
      </c>
      <c r="L9">
        <f>L$6/L3</f>
        <v>66.140089678673434</v>
      </c>
    </row>
    <row r="10" spans="1:13" x14ac:dyDescent="0.35">
      <c r="A10" t="s">
        <v>360</v>
      </c>
      <c r="B10" s="106">
        <f>B4/B3*B9</f>
        <v>102.64243959747429</v>
      </c>
      <c r="C10" s="106">
        <f t="shared" ref="C10:K10" si="1">C4/C3*C9</f>
        <v>101.55102426633155</v>
      </c>
      <c r="D10" s="106">
        <f>D4/D3*D9</f>
        <v>102.34709482810271</v>
      </c>
      <c r="E10" s="106">
        <f t="shared" si="1"/>
        <v>95.365617768965507</v>
      </c>
      <c r="F10" s="106">
        <f t="shared" si="1"/>
        <v>100.9803854382137</v>
      </c>
      <c r="G10" s="106">
        <f t="shared" si="1"/>
        <v>81.860523266943787</v>
      </c>
      <c r="H10" s="106">
        <f t="shared" si="1"/>
        <v>55.878943627877568</v>
      </c>
      <c r="I10" s="106">
        <f t="shared" si="1"/>
        <v>73.629766141115056</v>
      </c>
      <c r="J10" s="106">
        <f t="shared" si="1"/>
        <v>61.003263493173392</v>
      </c>
      <c r="K10" s="106">
        <f t="shared" si="1"/>
        <v>71.139180525771494</v>
      </c>
      <c r="L10" s="106">
        <f>L4/L3*L9</f>
        <v>50.577453924917265</v>
      </c>
      <c r="M10" s="106">
        <f>L4/L3</f>
        <v>0.76470192542278537</v>
      </c>
    </row>
    <row r="11" spans="1:13" x14ac:dyDescent="0.35">
      <c r="A11" t="s">
        <v>359</v>
      </c>
      <c r="B11" s="106">
        <f>B5/B3*B9</f>
        <v>508.13589131675968</v>
      </c>
      <c r="C11" s="106">
        <f t="shared" ref="C11:L11" si="2">C5/C3*C9</f>
        <v>505.96829504121354</v>
      </c>
      <c r="D11" s="106">
        <f t="shared" si="2"/>
        <v>509.93464070618182</v>
      </c>
      <c r="E11" s="106">
        <f t="shared" si="2"/>
        <v>471.57369053632283</v>
      </c>
      <c r="F11" s="106">
        <f t="shared" si="2"/>
        <v>499.33816973999092</v>
      </c>
      <c r="G11" s="106">
        <f t="shared" si="2"/>
        <v>404.79231372199774</v>
      </c>
      <c r="H11" s="106">
        <f t="shared" si="2"/>
        <v>276.43627659374869</v>
      </c>
      <c r="I11" s="106">
        <f t="shared" si="2"/>
        <v>28.765907442567364</v>
      </c>
      <c r="J11" s="106">
        <f t="shared" si="2"/>
        <v>18.770647706862036</v>
      </c>
      <c r="K11" s="106">
        <f t="shared" si="2"/>
        <v>21.889459995095965</v>
      </c>
      <c r="L11" s="106">
        <f t="shared" si="2"/>
        <v>15.562635753756167</v>
      </c>
    </row>
    <row r="12" spans="1:13" x14ac:dyDescent="0.35"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B5AC-9D96-415F-8868-68C2B5587E94}">
  <dimension ref="A1:L17"/>
  <sheetViews>
    <sheetView topLeftCell="D1" workbookViewId="0">
      <selection activeCell="J14" sqref="J14"/>
    </sheetView>
  </sheetViews>
  <sheetFormatPr baseColWidth="10" defaultRowHeight="14.5" x14ac:dyDescent="0.35"/>
  <cols>
    <col min="2" max="12" width="12.26953125" bestFit="1" customWidth="1"/>
  </cols>
  <sheetData>
    <row r="1" spans="1:12" x14ac:dyDescent="0.35">
      <c r="A1" t="s">
        <v>114</v>
      </c>
      <c r="B1" t="s">
        <v>115</v>
      </c>
    </row>
    <row r="3" spans="1:12" x14ac:dyDescent="0.35">
      <c r="A3" t="s">
        <v>109</v>
      </c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</row>
    <row r="4" spans="1:12" x14ac:dyDescent="0.35">
      <c r="A4" t="s">
        <v>108</v>
      </c>
      <c r="B4" s="30">
        <v>149.73668097084601</v>
      </c>
      <c r="C4" s="30">
        <v>111.429772044841</v>
      </c>
      <c r="D4" s="30">
        <v>123.812891299049</v>
      </c>
      <c r="E4" s="30">
        <v>182.43492887157302</v>
      </c>
      <c r="F4" s="30">
        <v>132.00576562771801</v>
      </c>
      <c r="G4" s="30">
        <v>150.30378075388199</v>
      </c>
      <c r="H4" s="30">
        <v>114.70668388770299</v>
      </c>
      <c r="I4" s="30">
        <v>107.415052931465</v>
      </c>
      <c r="J4" s="30">
        <v>111.308913737279</v>
      </c>
      <c r="K4" s="30">
        <v>106.508464239836</v>
      </c>
      <c r="L4" s="30">
        <v>63.005442777777795</v>
      </c>
    </row>
    <row r="5" spans="1:12" x14ac:dyDescent="0.35">
      <c r="A5" t="s">
        <v>107</v>
      </c>
      <c r="B5" s="30">
        <v>1032.2459053385201</v>
      </c>
      <c r="C5" s="30">
        <v>884.540917210712</v>
      </c>
      <c r="D5" s="30">
        <v>933.98113827960401</v>
      </c>
      <c r="E5" s="30">
        <v>732.41206040070904</v>
      </c>
      <c r="F5" s="30">
        <v>789.79342646499902</v>
      </c>
      <c r="G5" s="30">
        <v>595.27852489212603</v>
      </c>
      <c r="H5" s="30">
        <v>228.618821857879</v>
      </c>
      <c r="I5" s="30">
        <v>196.09789305455701</v>
      </c>
      <c r="J5" s="30">
        <v>298.78494636536698</v>
      </c>
      <c r="K5" s="30">
        <v>328.62664360738501</v>
      </c>
      <c r="L5" s="30">
        <v>207.66992166666702</v>
      </c>
    </row>
    <row r="6" spans="1:12" x14ac:dyDescent="0.35">
      <c r="A6" t="s">
        <v>106</v>
      </c>
      <c r="B6" s="30">
        <v>534.97277739830804</v>
      </c>
      <c r="C6" s="30">
        <v>533.39488069697404</v>
      </c>
      <c r="D6" s="30">
        <v>593.99950036734094</v>
      </c>
      <c r="E6" s="30">
        <v>363.88451522691702</v>
      </c>
      <c r="F6" s="30">
        <v>565.60017564129305</v>
      </c>
      <c r="G6" s="30">
        <v>490.658673641056</v>
      </c>
      <c r="H6" s="30">
        <v>238.61463016422701</v>
      </c>
      <c r="I6" s="30">
        <v>224.79197300018802</v>
      </c>
      <c r="J6" s="30">
        <v>85.586241935368705</v>
      </c>
      <c r="K6" s="30">
        <v>97.843740649962299</v>
      </c>
      <c r="L6" s="30">
        <v>78.288657499999999</v>
      </c>
    </row>
    <row r="7" spans="1:12" x14ac:dyDescent="0.35">
      <c r="A7" t="s">
        <v>105</v>
      </c>
      <c r="B7" s="30">
        <v>710.91154396697902</v>
      </c>
      <c r="C7" s="30">
        <v>572.93186001357003</v>
      </c>
      <c r="D7" s="30">
        <v>457.92434105791096</v>
      </c>
      <c r="E7" s="30">
        <v>344.25445200068702</v>
      </c>
      <c r="F7" s="30">
        <v>470.84853468125499</v>
      </c>
      <c r="G7" s="30">
        <v>383.29753845619302</v>
      </c>
      <c r="H7" s="30">
        <v>392.080789830014</v>
      </c>
      <c r="I7" s="30">
        <v>327.27750212240596</v>
      </c>
      <c r="J7" s="30">
        <v>157.519508558003</v>
      </c>
      <c r="K7" s="30">
        <v>279.07717078230502</v>
      </c>
      <c r="L7" s="30">
        <v>95.137230000000002</v>
      </c>
    </row>
    <row r="8" spans="1:12" x14ac:dyDescent="0.35">
      <c r="A8" t="s">
        <v>104</v>
      </c>
      <c r="B8" s="30">
        <v>568.15413560917204</v>
      </c>
      <c r="C8" s="30">
        <v>562.89870569887398</v>
      </c>
      <c r="D8" s="30">
        <v>562.44639728240907</v>
      </c>
      <c r="E8" s="30">
        <v>671.23680027591206</v>
      </c>
      <c r="F8" s="30">
        <v>655.84957517490591</v>
      </c>
      <c r="G8" s="30">
        <v>474.74856294684901</v>
      </c>
      <c r="H8" s="30">
        <v>263.46226988831097</v>
      </c>
      <c r="I8" s="30">
        <v>528.18421850820801</v>
      </c>
      <c r="J8" s="30">
        <v>215.79749190874298</v>
      </c>
      <c r="K8" s="30">
        <v>229.48327033866602</v>
      </c>
      <c r="L8" s="30">
        <v>250.6</v>
      </c>
    </row>
    <row r="9" spans="1:12" x14ac:dyDescent="0.35">
      <c r="A9" t="s">
        <v>103</v>
      </c>
      <c r="B9" s="30">
        <v>1397.7801429522101</v>
      </c>
      <c r="C9" s="30">
        <v>1332.0191518914901</v>
      </c>
      <c r="D9" s="30">
        <v>1341.9102941030001</v>
      </c>
      <c r="E9" s="30">
        <v>1414.0011599286399</v>
      </c>
      <c r="F9" s="30">
        <v>1369.9268796003</v>
      </c>
      <c r="G9" s="30">
        <v>1140.0131115766801</v>
      </c>
      <c r="H9" s="30">
        <v>853.59789595748293</v>
      </c>
      <c r="I9" s="30">
        <v>1088.39481938974</v>
      </c>
      <c r="J9" s="30">
        <v>685.23064657706891</v>
      </c>
      <c r="K9" s="30">
        <v>692.95601229367696</v>
      </c>
      <c r="L9" s="30">
        <v>694.37711999999999</v>
      </c>
    </row>
    <row r="10" spans="1:12" x14ac:dyDescent="0.35">
      <c r="A10" t="s">
        <v>102</v>
      </c>
      <c r="B10" s="30">
        <v>191.599195499166</v>
      </c>
      <c r="C10" s="30">
        <v>357.40573787704403</v>
      </c>
      <c r="D10" s="30">
        <v>206.89359603448099</v>
      </c>
      <c r="E10" s="30">
        <v>340.80588320312802</v>
      </c>
      <c r="F10" s="30">
        <v>335.00542116893399</v>
      </c>
      <c r="G10" s="30">
        <v>312.02953304442701</v>
      </c>
      <c r="H10" s="30">
        <v>199.21080334682699</v>
      </c>
      <c r="I10" s="30">
        <v>252.69347970976798</v>
      </c>
      <c r="J10" s="30">
        <v>166.89146155501098</v>
      </c>
      <c r="K10" s="30">
        <v>180.66030165512799</v>
      </c>
      <c r="L10" s="30">
        <v>141.98888629629599</v>
      </c>
    </row>
    <row r="11" spans="1:12" x14ac:dyDescent="0.35">
      <c r="A11" t="s">
        <v>101</v>
      </c>
      <c r="B11" s="30">
        <v>592.95751850903798</v>
      </c>
      <c r="C11" s="30">
        <v>706.75115302694701</v>
      </c>
      <c r="D11" s="30">
        <v>620.88488564762099</v>
      </c>
      <c r="E11" s="30">
        <v>641.87621944798298</v>
      </c>
      <c r="F11" s="30">
        <v>746.96557998425999</v>
      </c>
      <c r="G11" s="30">
        <v>586.17851569066102</v>
      </c>
      <c r="H11" s="30">
        <v>195.29686450544202</v>
      </c>
      <c r="I11" s="30">
        <v>220.07675771175298</v>
      </c>
      <c r="J11" s="30">
        <v>121.29682343912501</v>
      </c>
      <c r="K11" s="30">
        <v>161.50279980735999</v>
      </c>
      <c r="L11" s="30">
        <v>203.95197937500001</v>
      </c>
    </row>
    <row r="12" spans="1:12" x14ac:dyDescent="0.35">
      <c r="A12" t="s">
        <v>99</v>
      </c>
      <c r="B12" s="30">
        <v>233.270089768784</v>
      </c>
      <c r="C12" s="30">
        <v>821.89600380100001</v>
      </c>
      <c r="D12" s="30">
        <v>276.87174387853804</v>
      </c>
      <c r="E12" s="30">
        <v>299.29488459809602</v>
      </c>
      <c r="F12" s="30">
        <v>314.42479030963</v>
      </c>
      <c r="G12" s="30">
        <v>252.11011786248702</v>
      </c>
      <c r="H12" s="30">
        <v>102.425415937186</v>
      </c>
      <c r="I12" s="30">
        <v>101.573888174655</v>
      </c>
      <c r="J12" s="30">
        <v>53.829951230381099</v>
      </c>
      <c r="K12" s="30">
        <v>60.069979246986101</v>
      </c>
      <c r="L12" s="30">
        <v>115.5736</v>
      </c>
    </row>
    <row r="13" spans="1:12" x14ac:dyDescent="0.35">
      <c r="A13" t="s">
        <v>98</v>
      </c>
      <c r="B13" s="30">
        <v>2116.5740089965402</v>
      </c>
      <c r="C13" s="30">
        <v>1337.9447617804799</v>
      </c>
      <c r="D13" s="30">
        <v>1542.3512414567501</v>
      </c>
      <c r="E13" s="30">
        <v>1215.9240729583701</v>
      </c>
      <c r="F13" s="30">
        <v>1415.0531229069802</v>
      </c>
      <c r="G13" s="30">
        <v>913.20512818144402</v>
      </c>
      <c r="H13" s="30">
        <v>673.09183216925999</v>
      </c>
      <c r="I13" s="30">
        <v>747.33951765691893</v>
      </c>
      <c r="J13" s="30">
        <v>728.9614473578871</v>
      </c>
      <c r="K13" s="30">
        <v>745.73245674586906</v>
      </c>
      <c r="L13" s="30">
        <v>514.47033550000003</v>
      </c>
    </row>
    <row r="14" spans="1:12" x14ac:dyDescent="0.35">
      <c r="A14" t="s">
        <v>97</v>
      </c>
      <c r="B14" s="30">
        <v>4169.4203535404604</v>
      </c>
      <c r="C14" s="30">
        <v>5132.9159302970602</v>
      </c>
      <c r="D14" s="30">
        <v>5083.3009301207994</v>
      </c>
      <c r="E14" s="30">
        <v>4931.56938029926</v>
      </c>
      <c r="F14" s="30">
        <v>5010.5017220723903</v>
      </c>
      <c r="G14" s="30">
        <v>4255.9794999485302</v>
      </c>
      <c r="H14" s="30">
        <v>3539.7648015092</v>
      </c>
      <c r="I14" s="30">
        <v>2677.9485130470503</v>
      </c>
      <c r="J14" s="30">
        <v>2890.2323775140203</v>
      </c>
      <c r="K14" s="30">
        <v>3662.7642607221301</v>
      </c>
      <c r="L14" s="30">
        <v>2571.9093292307698</v>
      </c>
    </row>
    <row r="15" spans="1:12" x14ac:dyDescent="0.3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x14ac:dyDescent="0.35">
      <c r="B16" t="s">
        <v>100</v>
      </c>
    </row>
    <row r="17" spans="2:2" x14ac:dyDescent="0.35">
      <c r="B17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92F5-F09F-45B3-83ED-FCB6C8A7C297}">
  <dimension ref="A3:G26"/>
  <sheetViews>
    <sheetView zoomScale="48" zoomScaleNormal="48" workbookViewId="0">
      <selection activeCell="A3" sqref="A3:G25"/>
    </sheetView>
  </sheetViews>
  <sheetFormatPr baseColWidth="10" defaultRowHeight="14.5" x14ac:dyDescent="0.35"/>
  <cols>
    <col min="1" max="1" width="27.54296875" customWidth="1"/>
    <col min="2" max="2" width="2" customWidth="1"/>
    <col min="3" max="3" width="23.54296875" style="49" customWidth="1"/>
    <col min="4" max="4" width="13.26953125" customWidth="1"/>
    <col min="5" max="5" width="14.1796875" customWidth="1"/>
    <col min="6" max="6" width="17.90625" customWidth="1"/>
    <col min="7" max="7" width="7.26953125" customWidth="1"/>
  </cols>
  <sheetData>
    <row r="3" spans="1:7" ht="15.5" x14ac:dyDescent="0.35">
      <c r="A3" s="198" t="s">
        <v>384</v>
      </c>
      <c r="B3" s="198"/>
      <c r="C3" s="198"/>
      <c r="D3" s="198"/>
      <c r="E3" s="198"/>
      <c r="F3" s="198"/>
      <c r="G3" s="198"/>
    </row>
    <row r="4" spans="1:7" ht="27.5" thickBot="1" x14ac:dyDescent="0.4">
      <c r="A4" s="148" t="s">
        <v>151</v>
      </c>
      <c r="B4" s="148"/>
      <c r="C4" s="48" t="s">
        <v>152</v>
      </c>
      <c r="D4" s="148" t="s">
        <v>66</v>
      </c>
      <c r="E4" s="42" t="s">
        <v>241</v>
      </c>
      <c r="F4" s="42" t="s">
        <v>242</v>
      </c>
      <c r="G4" s="148" t="s">
        <v>154</v>
      </c>
    </row>
    <row r="5" spans="1:7" x14ac:dyDescent="0.35">
      <c r="A5" s="50" t="s">
        <v>181</v>
      </c>
      <c r="B5" s="38"/>
      <c r="C5" s="147"/>
      <c r="D5" s="152"/>
      <c r="E5" s="152"/>
      <c r="F5" s="152"/>
      <c r="G5" s="152"/>
    </row>
    <row r="6" spans="1:7" ht="28" customHeight="1" x14ac:dyDescent="0.35">
      <c r="A6" s="153" t="s">
        <v>240</v>
      </c>
      <c r="B6" s="43"/>
      <c r="C6" s="147" t="s">
        <v>166</v>
      </c>
      <c r="D6" s="152" t="s">
        <v>171</v>
      </c>
      <c r="E6" s="52">
        <v>3487.88</v>
      </c>
      <c r="F6" s="52">
        <v>2525.1799999999998</v>
      </c>
      <c r="G6" s="59" t="s">
        <v>185</v>
      </c>
    </row>
    <row r="7" spans="1:7" ht="20" customHeight="1" x14ac:dyDescent="0.35">
      <c r="A7" s="43" t="s">
        <v>155</v>
      </c>
      <c r="B7" s="43"/>
      <c r="C7" s="147" t="s">
        <v>169</v>
      </c>
      <c r="D7" s="152" t="s">
        <v>170</v>
      </c>
      <c r="E7" s="152">
        <v>53.29</v>
      </c>
      <c r="F7" s="152">
        <v>54.94</v>
      </c>
      <c r="G7" s="59" t="s">
        <v>185</v>
      </c>
    </row>
    <row r="8" spans="1:7" x14ac:dyDescent="0.35">
      <c r="A8" s="50" t="s">
        <v>180</v>
      </c>
      <c r="B8" s="38"/>
      <c r="C8" s="147"/>
      <c r="D8" s="152"/>
      <c r="E8" s="152"/>
      <c r="F8" s="152"/>
      <c r="G8" s="59"/>
    </row>
    <row r="9" spans="1:7" ht="20" customHeight="1" x14ac:dyDescent="0.35">
      <c r="A9" s="43" t="s">
        <v>156</v>
      </c>
      <c r="B9" s="43"/>
      <c r="C9" s="147" t="s">
        <v>165</v>
      </c>
      <c r="D9" s="152" t="s">
        <v>157</v>
      </c>
      <c r="E9" s="152"/>
      <c r="F9" s="152"/>
      <c r="G9" s="59"/>
    </row>
    <row r="10" spans="1:7" x14ac:dyDescent="0.35">
      <c r="A10" s="50" t="s">
        <v>394</v>
      </c>
      <c r="B10" s="38"/>
      <c r="C10" s="147"/>
      <c r="D10" s="152"/>
      <c r="E10" s="152"/>
      <c r="F10" s="152"/>
      <c r="G10" s="59"/>
    </row>
    <row r="11" spans="1:7" ht="20" customHeight="1" x14ac:dyDescent="0.35">
      <c r="A11" s="87" t="s">
        <v>159</v>
      </c>
      <c r="B11" s="33"/>
      <c r="C11" s="147" t="s">
        <v>164</v>
      </c>
      <c r="D11" s="152" t="s">
        <v>157</v>
      </c>
      <c r="E11" s="152">
        <v>55.71</v>
      </c>
      <c r="F11" s="152">
        <v>54.8</v>
      </c>
      <c r="G11" s="59"/>
    </row>
    <row r="12" spans="1:7" ht="20" customHeight="1" x14ac:dyDescent="0.35">
      <c r="A12" s="33" t="s">
        <v>158</v>
      </c>
      <c r="B12" s="33"/>
      <c r="C12" s="151" t="s">
        <v>243</v>
      </c>
      <c r="D12" s="152" t="s">
        <v>168</v>
      </c>
      <c r="E12" s="152">
        <v>937.65</v>
      </c>
      <c r="F12" s="152">
        <v>1059.18</v>
      </c>
      <c r="G12" s="59" t="s">
        <v>185</v>
      </c>
    </row>
    <row r="13" spans="1:7" ht="20.5" customHeight="1" x14ac:dyDescent="0.35">
      <c r="A13" s="33" t="s">
        <v>141</v>
      </c>
      <c r="B13" s="33"/>
      <c r="C13" s="147" t="s">
        <v>166</v>
      </c>
      <c r="D13" s="152" t="s">
        <v>172</v>
      </c>
      <c r="E13" s="152">
        <v>1506.67</v>
      </c>
      <c r="F13" s="152">
        <v>1269.55</v>
      </c>
      <c r="G13" s="59" t="s">
        <v>185</v>
      </c>
    </row>
    <row r="14" spans="1:7" ht="20" customHeight="1" x14ac:dyDescent="0.35">
      <c r="A14" s="33" t="s">
        <v>88</v>
      </c>
      <c r="B14" s="33"/>
      <c r="C14" s="199" t="s">
        <v>166</v>
      </c>
      <c r="D14" s="152" t="s">
        <v>170</v>
      </c>
      <c r="E14" s="152">
        <v>94.73</v>
      </c>
      <c r="F14" s="152">
        <v>86.13</v>
      </c>
      <c r="G14" s="59" t="s">
        <v>185</v>
      </c>
    </row>
    <row r="15" spans="1:7" ht="20" customHeight="1" x14ac:dyDescent="0.35">
      <c r="A15" s="33" t="s">
        <v>87</v>
      </c>
      <c r="B15" s="33"/>
      <c r="C15" s="199"/>
      <c r="D15" s="152" t="s">
        <v>167</v>
      </c>
      <c r="E15" s="152">
        <v>528</v>
      </c>
      <c r="F15" s="152">
        <v>161.30000000000001</v>
      </c>
      <c r="G15" s="59" t="s">
        <v>185</v>
      </c>
    </row>
    <row r="16" spans="1:7" ht="20" customHeight="1" x14ac:dyDescent="0.35">
      <c r="A16" s="33" t="s">
        <v>160</v>
      </c>
      <c r="B16" s="33"/>
      <c r="C16" s="199"/>
      <c r="D16" s="152" t="s">
        <v>173</v>
      </c>
      <c r="E16" s="152">
        <v>88.04</v>
      </c>
      <c r="F16" s="152">
        <v>88.49</v>
      </c>
      <c r="G16" s="59" t="s">
        <v>185</v>
      </c>
    </row>
    <row r="17" spans="1:7" ht="20" customHeight="1" x14ac:dyDescent="0.35">
      <c r="A17" s="33" t="s">
        <v>177</v>
      </c>
      <c r="B17" s="33"/>
      <c r="C17" s="199"/>
      <c r="D17" s="152" t="s">
        <v>173</v>
      </c>
      <c r="E17" s="152">
        <v>95.36</v>
      </c>
      <c r="F17" s="152">
        <v>95.78</v>
      </c>
      <c r="G17" s="59" t="s">
        <v>188</v>
      </c>
    </row>
    <row r="18" spans="1:7" ht="20" customHeight="1" x14ac:dyDescent="0.35">
      <c r="A18" s="33" t="s">
        <v>143</v>
      </c>
      <c r="B18" s="33"/>
      <c r="C18" s="199"/>
      <c r="D18" s="152" t="s">
        <v>173</v>
      </c>
      <c r="E18" s="152">
        <v>5.86</v>
      </c>
      <c r="F18" s="152">
        <v>6.61</v>
      </c>
      <c r="G18" s="59" t="s">
        <v>185</v>
      </c>
    </row>
    <row r="19" spans="1:7" x14ac:dyDescent="0.35">
      <c r="A19" s="50" t="s">
        <v>178</v>
      </c>
      <c r="B19" s="38"/>
      <c r="C19" s="147"/>
      <c r="D19" s="152"/>
      <c r="E19" s="152"/>
      <c r="F19" s="152"/>
      <c r="G19" s="152"/>
    </row>
    <row r="20" spans="1:7" ht="20" customHeight="1" x14ac:dyDescent="0.35">
      <c r="A20" s="33" t="s">
        <v>161</v>
      </c>
      <c r="B20" s="33"/>
      <c r="C20" s="199" t="s">
        <v>165</v>
      </c>
      <c r="D20" s="152" t="s">
        <v>174</v>
      </c>
      <c r="E20" s="152">
        <v>48.77</v>
      </c>
      <c r="F20" s="152">
        <v>0</v>
      </c>
      <c r="G20" s="152"/>
    </row>
    <row r="21" spans="1:7" ht="20" customHeight="1" x14ac:dyDescent="0.35">
      <c r="A21" s="33" t="s">
        <v>162</v>
      </c>
      <c r="B21" s="33"/>
      <c r="C21" s="199"/>
      <c r="D21" s="152" t="s">
        <v>175</v>
      </c>
      <c r="E21" s="152"/>
      <c r="F21" s="152"/>
      <c r="G21" s="152"/>
    </row>
    <row r="22" spans="1:7" ht="20" customHeight="1" x14ac:dyDescent="0.35">
      <c r="A22" s="33" t="s">
        <v>163</v>
      </c>
      <c r="B22" s="33"/>
      <c r="C22" s="199"/>
      <c r="D22" s="152" t="s">
        <v>157</v>
      </c>
      <c r="E22" s="152"/>
      <c r="F22" s="152"/>
      <c r="G22" s="152"/>
    </row>
    <row r="23" spans="1:7" ht="20" customHeight="1" x14ac:dyDescent="0.35">
      <c r="A23" s="33" t="s">
        <v>89</v>
      </c>
      <c r="B23" s="33"/>
      <c r="C23" s="199"/>
      <c r="D23" s="152" t="s">
        <v>176</v>
      </c>
      <c r="E23" s="52">
        <v>4172.6899999999996</v>
      </c>
      <c r="F23" s="152">
        <v>0</v>
      </c>
      <c r="G23" s="152"/>
    </row>
    <row r="24" spans="1:7" ht="20" customHeight="1" x14ac:dyDescent="0.35">
      <c r="A24" s="54" t="s">
        <v>92</v>
      </c>
      <c r="B24" s="54"/>
      <c r="C24" s="150" t="s">
        <v>184</v>
      </c>
      <c r="D24" s="149" t="s">
        <v>171</v>
      </c>
      <c r="E24" s="88">
        <v>773</v>
      </c>
      <c r="F24" s="149">
        <v>0</v>
      </c>
      <c r="G24" s="54"/>
    </row>
    <row r="25" spans="1:7" ht="19" customHeight="1" x14ac:dyDescent="0.35">
      <c r="A25" s="53" t="s">
        <v>186</v>
      </c>
      <c r="B25" s="196" t="s">
        <v>187</v>
      </c>
      <c r="C25" s="197"/>
      <c r="D25" s="197"/>
      <c r="E25" s="197"/>
      <c r="F25" s="197"/>
      <c r="G25" s="197"/>
    </row>
    <row r="26" spans="1:7" x14ac:dyDescent="0.35">
      <c r="A26" s="57"/>
      <c r="B26" s="58"/>
      <c r="C26" s="58"/>
      <c r="D26" s="58"/>
      <c r="E26" s="58"/>
      <c r="F26" s="58"/>
      <c r="G26" s="58"/>
    </row>
  </sheetData>
  <mergeCells count="4">
    <mergeCell ref="A3:G3"/>
    <mergeCell ref="C14:C18"/>
    <mergeCell ref="C20:C23"/>
    <mergeCell ref="B25:G25"/>
  </mergeCells>
  <pageMargins left="0.7" right="0.7" top="0.75" bottom="0.75" header="0.3" footer="0.3"/>
  <pageSetup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CB8B-ACEC-4F29-82C4-2976284C042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Tablas</vt:lpstr>
      <vt:lpstr>1.1-1.2</vt:lpstr>
      <vt:lpstr>1.3</vt:lpstr>
      <vt:lpstr>1.4</vt:lpstr>
      <vt:lpstr>2.1</vt:lpstr>
      <vt:lpstr>2.2</vt:lpstr>
      <vt:lpstr>2.3</vt:lpstr>
      <vt:lpstr>2.4</vt:lpstr>
      <vt:lpstr>2.5</vt:lpstr>
      <vt:lpstr>TR</vt:lpstr>
      <vt:lpstr>A2</vt:lpstr>
      <vt:lpstr>_2.3 C</vt:lpstr>
      <vt:lpstr>Figuras</vt:lpstr>
      <vt:lpstr>Fig 1</vt:lpstr>
      <vt:lpstr>Fig 2</vt:lpstr>
      <vt:lpstr>_ANPs-1</vt:lpstr>
      <vt:lpstr>2.1-examen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</dc:creator>
  <cp:lastModifiedBy>Sebastian Ocampo Palacios</cp:lastModifiedBy>
  <cp:lastPrinted>2022-05-11T03:23:34Z</cp:lastPrinted>
  <dcterms:created xsi:type="dcterms:W3CDTF">2022-02-17T18:26:49Z</dcterms:created>
  <dcterms:modified xsi:type="dcterms:W3CDTF">2022-09-21T06:04:12Z</dcterms:modified>
</cp:coreProperties>
</file>